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2.xml" ContentType="application/vnd.openxmlformats-officedocument.spreadsheetml.table+xml"/>
  <Override PartName="/xl/tables/table4.xml" ContentType="application/vnd.openxmlformats-officedocument.spreadsheetml.table+xml"/>
  <Override PartName="/xl/tables/table3.xml" ContentType="application/vnd.openxmlformats-officedocument.spreadsheetml.table+xml"/>
  <Override PartName="/xl/tables/table1.xml" ContentType="application/vnd.openxmlformats-officedocument.spreadsheetml.table+xml"/>
  <Override PartName="/xl/tables/table8.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Operations" sheetId="2" state="visible" r:id="rId4"/>
    <sheet name="page.tsx rules" sheetId="3" state="visible" r:id="rId5"/>
    <sheet name="Parity" sheetId="4" state="visible" r:id="rId6"/>
    <sheet name="CLI commands" sheetId="5" state="visible" r:id="rId7"/>
    <sheet name="Command groups" sheetId="6" state="visible" r:id="rId8"/>
    <sheet name="Decisions" sheetId="7" state="visible" r:id="rId9"/>
    <sheet name="Suspected bugs" sheetId="8" state="visible" r:id="rId10"/>
    <sheet name="Tests first"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<sst xmlns="http://schemas.openxmlformats.org/spreadsheetml/2006/main" count="8179" uniqueCount="4286">
  <si>
    <t xml:space="preserve">DragonFruit scene core: extraction map</t>
  </si>
  <si>
    <t xml:space="preserve">Source: Open-Resin-Alliance/DragonFruit dev @ 5d31502c (2026-10-21). Read-only mapping for ADR-0045 (headless scene operations).</t>
  </si>
  <si>
    <t xml:space="preserve">Companion files: scene-core-map.md (the narrative), core-extraction-handoff.md, scene-core-issue-drafts.md.</t>
  </si>
  <si>
    <t xml:space="preserve">Sheets</t>
  </si>
  <si>
    <t xml:space="preserve">Operations — every operation in useSceneCollectionManager.ts (rows A–G), plus save-path rows that live in other files.</t>
  </si>
  <si>
    <t xml:space="preserve">page.tsx rules — scene rules found in page.tsx and SceneCanvas.tsx (lighter pass).</t>
  </si>
  <si>
    <t xml:space="preserve">Parity — each user-level GUI operation against the TypeScript CLI: Full / Partial / Missing.</t>
  </si>
  <si>
    <t xml:space="preserve">CLI commands — every CLI subcommand: shared code it calls, rules it restates by hand, differences from the app.</t>
  </si>
  <si>
    <t xml:space="preserve">Command groups — proposed groups in extraction order, with draft pure functions and counts.</t>
  </si>
  <si>
    <t xml:space="preserve">Decisions — questions for Ender, each with options.</t>
  </si>
  <si>
    <t xml:space="preserve">Suspected bugs — found while mapping; to pin with tests, not fix inside extraction PRs.</t>
  </si>
  <si>
    <t xml:space="preserve">Tests first — what to pin before each group is extracted.</t>
  </si>
  <si>
    <t xml:space="preserve">Column legend (Operations)</t>
  </si>
  <si>
    <t xml:space="preserve">Implicit target: 'Yes' = reads the selection, active model, active plate or clipboard instead of explicit ids (ADR rule 3).</t>
  </si>
  <si>
    <t xml:space="preserve">Pure vs React: Mostly pure / Mixed / Mostly React, then which lines are logic vs plumbing.</t>
  </si>
  <si>
    <t xml:space="preserve">Effort: S = under a day, 1–2 files · M = a few days, one subsystem · L = crosses subsystems.</t>
  </si>
  <si>
    <t xml:space="preserve">Risk: Low = isolated · Med = shared code or visible behaviour · High = support geometry, slicing output, orientation, file formats, undo core.</t>
  </si>
  <si>
    <t xml:space="preserve">Confidence: High = traced exactly · Med = right area · Low = guess (the cell says what to check).</t>
  </si>
  <si>
    <t xml:space="preserve">CLI status: Full / Partial / None — read from the CLI code, not guessed from names.</t>
  </si>
  <si>
    <t xml:space="preserve">Chunk: which mapping pass produced the row (A–G = hook line ranges, H = page.tsx). Line numbers are for the commit above.</t>
  </si>
  <si>
    <t xml:space="preserve">Caveats</t>
  </si>
  <si>
    <t xml:space="preserve">Nothing was run: the clone had no node_modules. Suspected bugs are from reading code; the Bugs sheet says which ones I re-checked myself.</t>
  </si>
  <si>
    <t xml:space="preserve">Indirect wiring (hotkeys, delete registry, window events, Tauri events) is summarised in the map doc; some rows say what they suspect but could not trace.</t>
  </si>
  <si>
    <t xml:space="preserve">Counts (live formulas over the Operations sheet)</t>
  </si>
  <si>
    <t xml:space="preserve">Operations mapped (hook + save path)</t>
  </si>
  <si>
    <t xml:space="preserve">…rows covering returned keys (153 keys in all)</t>
  </si>
  <si>
    <t xml:space="preserve">…with an implicit target</t>
  </si>
  <si>
    <t xml:space="preserve">…Mostly pure</t>
  </si>
  <si>
    <t xml:space="preserve">…CLI Full</t>
  </si>
  <si>
    <t xml:space="preserve">…CLI Partial</t>
  </si>
  <si>
    <t xml:space="preserve">…Risk High</t>
  </si>
  <si>
    <t xml:space="preserve">page.tsx / SceneCanvas rules</t>
  </si>
  <si>
    <t xml:space="preserve">Parity rows Full / Partial / Missing</t>
  </si>
  <si>
    <t xml:space="preserve">ID</t>
  </si>
  <si>
    <t xml:space="preserve">Name in code</t>
  </si>
  <si>
    <t xml:space="preserve">Operation</t>
  </si>
  <si>
    <t xml:space="preserve">Returned</t>
  </si>
  <si>
    <t xml:space="preserve">Command group</t>
  </si>
  <si>
    <t xml:space="preserve">Location</t>
  </si>
  <si>
    <t xml:space="preserve">State read / written</t>
  </si>
  <si>
    <t xml:space="preserve">Implicit target</t>
  </si>
  <si>
    <t xml:space="preserve">Pure vs React</t>
  </si>
  <si>
    <t xml:space="preserve">Pure vs React (detail)</t>
  </si>
  <si>
    <t xml:space="preserve">Existing pure helper</t>
  </si>
  <si>
    <t xml:space="preserve">CLI status</t>
  </si>
  <si>
    <t xml:space="preserve">CLI today</t>
  </si>
  <si>
    <t xml:space="preserve">Undo</t>
  </si>
  <si>
    <t xml:space="preserve">Callers</t>
  </si>
  <si>
    <t xml:space="preserve">Effort</t>
  </si>
  <si>
    <t xml:space="preserve">Risk</t>
  </si>
  <si>
    <t xml:space="preserve">Confidence</t>
  </si>
  <si>
    <t xml:space="preserve">Extraction notes</t>
  </si>
  <si>
    <t xml:space="preserve">Draft pure function</t>
  </si>
  <si>
    <t xml:space="preserve">Test first</t>
  </si>
  <si>
    <t xml:space="preserve">Suspected wiring</t>
  </si>
  <si>
    <t xml:space="preserve">Implicit target (detail)</t>
  </si>
  <si>
    <t xml:space="preserve">Agent group</t>
  </si>
  <si>
    <t xml:space="preserve">Chunk</t>
  </si>
  <si>
    <t xml:space="preserve">scene-data-types</t>
  </si>
  <si>
    <t xml:space="preserve">ScenePlate, LoadedModel, PlateFrame re-export, ModelClipboardEntry, ImportProgressState</t>
  </si>
  <si>
    <t xml:space="preserve">The app's runtime scene shape: models with id/name/group/link/plateId/transform(THREE)/geometry(THREE)/visible/color/support-designation flags; plates {id,name}.</t>
  </si>
  <si>
    <t xml:space="preserve">No</t>
  </si>
  <si>
    <t xml:space="preserve">Foundations: pins and seams</t>
  </si>
  <si>
    <t xml:space="preserve">useSceneCollectionManager.ts:1063-1102, 1125-1131, 1307-1319</t>
  </si>
  <si>
    <t xml:space="preserve">Reads: n/a
Writes: n/a</t>
  </si>
  <si>
    <t xml:space="preserve">Yes</t>
  </si>
  <si>
    <t xml:space="preserve">Mostly React</t>
  </si>
  <si>
    <t xml:space="preserve">Mostly React — LoadedModel carries THREE geometry and THREE transform, so it can never be the pure input type.</t>
  </si>
  <si>
    <t xml:space="preserve">PlateMember (plateLayout) is the narrow structural cut already</t>
  </si>
  <si>
    <t xml:space="preserve">n/a</t>
  </si>
  <si>
    <t xml:space="preserve">n/a — CLI uses VoxlModelEntry</t>
  </si>
  <si>
    <t xml:space="preserve">LoadedModel imported widely (page.tsx, panels, managers)</t>
  </si>
  <si>
    <t xml:space="preserve">S</t>
  </si>
  <si>
    <t xml:space="preserve">Low</t>
  </si>
  <si>
    <t xml:space="preserve">High</t>
  </si>
  <si>
    <t xml:space="preserve">Per ADR, do not move LoadedModel; pure rules take {transform:{position:{x,y}}, plateId?} style slices.</t>
  </si>
  <si>
    <t xml:space="preserve">n/a (types)</t>
  </si>
  <si>
    <t xml:space="preserve">scene-models</t>
  </si>
  <si>
    <t xml:space="preserve">A</t>
  </si>
  <si>
    <t xml:space="preserve">core-scene-state</t>
  </si>
  <si>
    <t xml:space="preserve">models, setModels, activeModelId, setActiveModelId, selectedModelIds, setSelectedModelIds, modelsRef, activeModelIdRef, selectedModelIdsRef</t>
  </si>
  <si>
    <t xml:space="preserve">The scene's model list, active model and selection, mirrored into refs every render so stable callbacks read live values.</t>
  </si>
  <si>
    <t xml:space="preserve">useSceneCollectionManager.ts:1472-1474, 1580-1592</t>
  </si>
  <si>
    <t xml:space="preserve">Reads: React state
Writes: React state; refs</t>
  </si>
  <si>
    <t xml:space="preserve">Mostly React — state + ref mirroring.</t>
  </si>
  <si>
    <t xml:space="preserve">None</t>
  </si>
  <si>
    <t xml:space="preserve">n/a — CLI holds doc.models, doc.scene.activeModelId/selectedModelIds</t>
  </si>
  <si>
    <t xml:space="preserve">setActiveModelId/setSelectedModelIds are raw setters: no history.</t>
  </si>
  <si>
    <t xml:space="preserve">models: ~235 uses in 19 files (page.tsx, panels, arrange/import-export/mirror/hollow/hole-punch managers, sliceJobAssembly); setActiveModelId/setSelectedModelIds: page.tsx (33), useImportExportManager (6), ExportPanelStack</t>
  </si>
  <si>
    <t xml:space="preserve">Refs exist because callbacks are declared before the values they need; any pure rule should take these as params.</t>
  </si>
  <si>
    <t xml:space="preserve">n/a (state)</t>
  </si>
  <si>
    <t xml:space="preserve">Raw setters exported to page.tsx bypass the plate-lock guard that selectModel applies.</t>
  </si>
  <si>
    <t xml:space="preserve">scene-snapshot-registry</t>
  </si>
  <si>
    <t xml:space="preserve">SCENE_MODELS_SNAPSHOT_APPLY, sceneHistory, sceneSnapshotRegistry, sceneSnapshotOrder, storeSceneSnapshotPair, estimateSceneSnapshotRegistryBytes, estimateGeometryBytes</t>
  </si>
  <si>
    <t xml:space="preserve">The scene undo store. One typed-history action type (SCENE_MODELS_SNAPSHOT_APPLY) whose payload is a key into a module-level Map of {before, after} SceneSnapshots. storeSceneSnapshotPair adds a pair and evicts oldest entries past 200 pairs or past 300 MB of distinct BufferGeometry (counted once per geometry object, always keeping the newest).</t>
  </si>
  <si>
    <t xml:space="preserve">useSceneCollectionManager.ts:281-300, 345-351, 508-578</t>
  </si>
  <si>
    <t xml:space="preserve">Reads: sceneSnapshotRegistry, sceneSnapshotOrder (module globals), geometry.attributes byte lengths
Writes: sceneSnapshotRegistry, sceneSnapshotOrder</t>
  </si>
  <si>
    <t xml:space="preserve">Mixed</t>
  </si>
  <si>
    <t xml:space="preserve">Mixed — eviction policy is plain logic, but it lives in module globals shared by every hook instance and measures THREE.BufferGeometry identity.</t>
  </si>
  <si>
    <t xml:space="preserve">createTypedHistory (@/history/typedHistory)</t>
  </si>
  <si>
    <t xml:space="preserve">None — CLI has no history.</t>
  </si>
  <si>
    <t xml:space="preserve">Is the undo core: payload {key, modelId?}; label SCENE_CHANGE_LABEL by default.</t>
  </si>
  <si>
    <t xml:space="preserve">internal: pushSceneSnapshotHistory@2362, setModelMeshModifiers merge@4124-4140, sceneHistory.register effect@2343; external: SCENE_MODELS_SNAPSHOT_APPLY imported by useHollowingManager.ts:1302 (history op subscriber).</t>
  </si>
  <si>
    <t xml:space="preserve">M</t>
  </si>
  <si>
    <t xml:space="preserve">Global singleton (not per-hook): two mounted managers (tests) share it. Snapshots hold LoadedModel with THREE geometry; eviction silently makes older undo entries no-ops (handler returns false). Out of scope for the CLI; stays app-side per ADR (manager pushes history).</t>
  </si>
  <si>
    <t xml:space="preserve">n/a (undo core). If anything: planSnapshotEviction({ order: string[], bytesByKey: Map&lt;string, number&gt;, maxCount, maxBytes }): string[]  // keys to drop</t>
  </si>
  <si>
    <t xml:space="preserve">Pin: 201 pushes keep 200 keys; a pair sharing geometry with others adds 0 bytes; one pair over 300 MB is kept alone; evicted key's undo returns false and history skips it.</t>
  </si>
  <si>
    <t xml:space="preserve">useHollowingManager subscribes via subscribeHistoryOperations to this action type to release hollow caches; debug panel in page.tsx polls getSceneSnapshotRegistryBytes.</t>
  </si>
  <si>
    <t xml:space="preserve">No (keyed by generated key)</t>
  </si>
  <si>
    <t xml:space="preserve">history-core</t>
  </si>
  <si>
    <t xml:space="preserve">capture-scene-snapshot</t>
  </si>
  <si>
    <t xml:space="preserve">captureSceneSnapshot, cloneLoadedModel, cloneTransform, SceneSnapshot, SceneSnapshotCaptureOptions</t>
  </si>
  <si>
    <t xml:space="preserve">Builds an undo snapshot: shallow-clones each model (transform vectors cloned, meshModifiers stripped), copies active/selected ids, records the active printer id (or override), optionally the whole support store and the plate list + active plate.</t>
  </si>
  <si>
    <t xml:space="preserve">useSceneCollectionManager.ts:302-348, 353-359, 370-377, 441-470</t>
  </si>
  <si>
    <t xml:space="preserve">Reads: getActivePrinterProfile() (profile store), getSnapshot() (support store) when includeSupportState
Writes: None (returns data)</t>
  </si>
  <si>
    <t xml:space="preserve">Mixed — the shape is plain data, but it clones THREE.Vector3/Euler and reads two global stores as defaults.</t>
  </si>
  <si>
    <t xml:space="preserve">clonePlainData (support state)</t>
  </si>
  <si>
    <t xml:space="preserve">Produces the before/after halves every history entry uses.</t>
  </si>
  <si>
    <t xml:space="preserve">internal: ~60 call sites (every history-pushing op, e.g. 3303, 4090, 4184, 5058, 7100, 7740)</t>
  </si>
  <si>
    <t xml:space="preserve">Implicit reads of profile store and support store; THREE transforms. Could take printerProfileId and supportState explicitly.</t>
  </si>
  <si>
    <t xml:space="preserve">captureSceneSnapshot({ models, activeModelId, selectedModelIds, printerProfileId, supportState?, plates?, activePlateId? }): SceneSnapshot</t>
  </si>
  <si>
    <t xml:space="preserve">Snapshot of a model is not affected by later mutation of the source transform; meshModifiers always undefined; printerProfileId null when no printer; plates absent unless passed.</t>
  </si>
  <si>
    <t xml:space="preserve">Partly: printer defaults to the store's active profile; supports from the global support store.</t>
  </si>
  <si>
    <t xml:space="preserve">clone-mesh-modifiers</t>
  </si>
  <si>
    <t xml:space="preserve">cloneMeshModifiersShallow, cloneMeshModifiersForHistory</t>
  </si>
  <si>
    <t xml:space="preserve">Copies a model's mesh-modifier record (hollowing, hole punches, applied placements). Shallow variant for import sanitising (avoids JSON round trip of MB base64); history variant also copies blocked voxel arrays and placement vectors.</t>
  </si>
  <si>
    <t xml:space="preserve">useSceneCollectionManager.ts:389-418</t>
  </si>
  <si>
    <t xml:space="preserve">Reads: None
Writes: None</t>
  </si>
  <si>
    <t xml:space="preserve">Mostly pure</t>
  </si>
  <si>
    <t xml:space="preserve">Mostly pure — plain object copies.</t>
  </si>
  <si>
    <t xml:space="preserve">Used to build modifierRecord on snapshots.</t>
  </si>
  <si>
    <t xml:space="preserve">internal: shallow 5998, 6624 (imports); history 2283, 3622, 3649, 4111-4136</t>
  </si>
  <si>
    <t xml:space="preserve">None; already pure. Belongs in features/mesh-modifiers.</t>
  </si>
  <si>
    <t xml:space="preserve">cloneMeshModifiers({ modifiers, depth: 'shallow' | 'history' }): ModelMeshModifiers | undefined</t>
  </si>
  <si>
    <t xml:space="preserve">History clone: mutating original holePunches[0].centerNorm does not change the copy; null -&gt; undefined.</t>
  </si>
  <si>
    <t xml:space="preserve">get-scene-snapshot-registry-bytes</t>
  </si>
  <si>
    <t xml:space="preserve">getSceneSnapshotRegistryBytes</t>
  </si>
  <si>
    <t xml:space="preserve">Exported reader of the registry's deduplicated geometry byte total, for the history debug panel.</t>
  </si>
  <si>
    <t xml:space="preserve">useSceneCollectionManager.ts:553-555</t>
  </si>
  <si>
    <t xml:space="preserve">Reads: sceneSnapshotRegistry
Writes: None</t>
  </si>
  <si>
    <t xml:space="preserve">Mostly pure — reads a module global.</t>
  </si>
  <si>
    <t xml:space="preserve">estimateSceneSnapshotRegistryBytes</t>
  </si>
  <si>
    <t xml:space="preserve">page.tsx:6421, 6441 (debug panel)</t>
  </si>
  <si>
    <t xml:space="preserve">Module global; trivial.</t>
  </si>
  <si>
    <t xml:space="preserve">n/a (UI plumbing)</t>
  </si>
  <si>
    <t xml:space="preserve">Same as registry: two snapshots sharing one geometry count it once.</t>
  </si>
  <si>
    <t xml:space="preserve">apply-scene-snapshot</t>
  </si>
  <si>
    <t xml:space="preserve">applySceneSnapshot</t>
  </si>
  <si>
    <t xml:space="preserve">Puts a stored scene state back (undo/redo). Restores a model's mesh modifiers if the snapshot carries them, repaints vertex colours where the colour differs, replaces models/active/selection, switches the printer back (and moves the plate-layout memory with it), restores plates + active plate (falling back to the first plate), and restores or resets support state.</t>
  </si>
  <si>
    <t xml:space="preserve">useSceneCollectionManager.ts:2281-2341</t>
  </si>
  <si>
    <t xml:space="preserve">Reads: modelsRef.current (colours); profile store (getActivePrinterProfile, getProfileStoreSnapshot); snapshot fields models/activeModelId/selectedModelIds/printerProfileId/plates/activePlateId/supportState/modifierRecord
Writes: meshModifierStore (storeModelMeshModifiers), prepared-geometry cache clear, geometry vertex colours (paintModelBaseColor mutates THREE attribute), setModels, setActiveModelId, setSelectedModelIds, active printer profile, laidOutFootprintRef, setPlates, setActivePlateId, supports store (setSupportSnapshot or resetStore)</t>
  </si>
  <si>
    <t xml:space="preserve">Mixed — the decisions (which plate becomes active, whether supports reset because models are empty, whether the printer changes, which models need repaint) are pure; the rest is 6 setState calls, two module stores, the profile store and an in-place THREE colour write</t>
  </si>
  <si>
    <t xml:space="preserve">cloneLoadedModel, cloneMeshModifiersForHistory, paintModelBaseColor, clonePlainData (module-level in the hook file); setSupportSnapshot/resetStore (supports/state)</t>
  </si>
  <si>
    <t xml:space="preserve">None — CLI has no history; it would restore by re-reading a file</t>
  </si>
  <si>
    <t xml:space="preserve">Is the undo core: called by the SCENE_MODELS_SNAPSHOT_APPLY handler with pair.before (undo) or pair.after (redo)</t>
  </si>
  <si>
    <t xml:space="preserve">internal: scene-snapshot-history-handler effect (2352) only</t>
  </si>
  <si>
    <t xml:space="preserve">Snapshots hold live LoadedModel objects with shared THREE geometry, so the snapshot itself is not plain data. Repaint mutates the shared geometry. Printer switch writes a global profile store and laidOutFootprintRef must change in the same tick or the printer-change layout effect (7694) shifts models. Order matters: modifiers before models.</t>
  </si>
  <si>
    <t xml:space="preserve">planSnapshotRestore({ snapshot: { models: {id,color}[]; activeModelId; selectedModelIds; plates?: {id}[]; activePlateId?; printerProfileId?: string|null; hasSupportState: boolean }, current: { colorById: Record&lt;string,string&gt;; activePrinterId: string|null; activePlateId: string } }) =&gt; { activePlateId?: string; printerToActivate?: string; supports: 'reset'|'restore'|'keep'; repaintModelIds: string[] }</t>
  </si>
  <si>
    <t xml:space="preserve">Snapshot with plates [A,B], activePlateId C (gone) -&gt; active becomes A; activePlateId undefined -&gt; A. Empty models + supportState -&gt; supports reset. printerProfileId undefined -&gt; profile untouched; null -&gt; laidOutFootprint untouched and no switch. Colour differs -&gt; repaint called once for that model only. Undo of a printer switch must not trigger the plate-shift layout effect (models stay where snapshot put them).</t>
  </si>
  <si>
    <t xml:space="preserve">useHollowingManager subscribes to history operations of this type and drops caches when payload.modelId is set; printer-change useLayoutEffect at ~7694 reads laidOutFootprintRef</t>
  </si>
  <si>
    <t xml:space="preserve">No — the snapshot names everything it restores</t>
  </si>
  <si>
    <t xml:space="preserve">B</t>
  </si>
  <si>
    <t xml:space="preserve">scene-snapshot-history-handler</t>
  </si>
  <si>
    <t xml:space="preserve">useEffect -&gt; sceneHistory.register(SCENE_MODELS_SNAPSHOT_APPLY)</t>
  </si>
  <si>
    <t xml:space="preserve">Registers the one scene undo/redo handler. On undo/redo it looks up the payload key in the module-level sceneSnapshotRegistry and applies before/after; returns false (entry discarded) if the key was evicted.</t>
  </si>
  <si>
    <t xml:space="preserve">useSceneCollectionManager.ts:2343-2360</t>
  </si>
  <si>
    <t xml:space="preserve">Reads: sceneSnapshotRegistry (module Map), payload.key
Writes: via applySceneSnapshot; history store handler map</t>
  </si>
  <si>
    <t xml:space="preserve">Mostly React — registration lifetime is a useEffect; the logic is a lookup + direction switch</t>
  </si>
  <si>
    <t xml:space="preserve">createTypedHistory (src/history/typedHistory.ts)</t>
  </si>
  <si>
    <t xml:space="preserve">Registers handler for SCENE_MODELS_SNAPSHOT_APPLY (default label SCENE_CHANGE_LABEL 'Scene change')</t>
  </si>
  <si>
    <t xml:space="preserve">internal: mounted with the hook; history store dispatch (undo()/redo() from page.tsx hotkeys)</t>
  </si>
  <si>
    <t xml:space="preserve">Handler lifetime is tied to the manager hook mount (doc says scene registers in an always-mounted hook). An evicted key returns false, so the entry is silently discarded — this is the only signal of eviction. The registry is a module singleton shared by every mount (tests mount repeatedly).</t>
  </si>
  <si>
    <t xml:space="preserve">n/a (UI plumbing) — keep registration in the app; the pure part is selectSnapshotSide({ pair, direction }) =&gt; SceneSnapshot</t>
  </si>
  <si>
    <t xml:space="preserve">Push a pair, undo -&gt; before applied, redo -&gt; after applied. Evict the key (push 201 pairs) then undo the oldest -&gt; handler declines and the entry is dropped (undo count decreases, state unchanged). Unmount/remount -&gt; stack entries replay (no stranded stack).</t>
  </si>
  <si>
    <t xml:space="preserve">Ctrl+Z hotkey -&gt; historyStore.undo in page.tsx; page.tsx subscribeHistoryOperations restores tool origin</t>
  </si>
  <si>
    <t xml:space="preserve">push-scene-snapshot-history</t>
  </si>
  <si>
    <t xml:space="preserve">pushSceneSnapshotHistory</t>
  </si>
  <si>
    <t xml:space="preserve">Stores a {before, after} snapshot pair in the module registry (with eviction) and pushes a history entry pointing at it by key, with an optional label and an optional modelId (modelId = 'this step swapped the model's geometry', which the hollowing manager uses to drop caches).</t>
  </si>
  <si>
    <t xml:space="preserve">useSceneCollectionManager.ts:2362-2369</t>
  </si>
  <si>
    <t xml:space="preserve">Reads: none beyond args
Writes: sceneSnapshotRegistry/sceneSnapshotOrder (module), history undo stack (clears redo)</t>
  </si>
  <si>
    <t xml:space="preserve">Mostly pure — one-line wrapper over a module Map and the history store; useCallback with no deps</t>
  </si>
  <si>
    <t xml:space="preserve">storeSceneSnapshotPair (module, 557-577), sceneHistory.push</t>
  </si>
  <si>
    <t xml:space="preserve">None — CLI has no history</t>
  </si>
  <si>
    <t xml:space="preserve">This IS the push: type SCENE_MODELS_SNAPSHOT_APPLY, payload {key, modelId?}, description = caller's MessageDescriptor</t>
  </si>
  <si>
    <t xml:space="preserve">internal: ~29 operations (deleteModels, updateModelTransforms, commitModelTransform(s)History, group/ungroup/link/unlink, paste*, duplicateModelWithTransforms, replaceModelGeometry, repairModelsInPlace, splitModelIntoParts, splitSupports, mergeSupports, setMeshColor, setModelVisibility, rename*, addPlate, removePlate, deleteModelsAndExtraPlates, modelsShiftedForRelaidPlates, toggleSupportDesignation, addModelFromGeometry...). setModelMeshModifiers (4110-4141) bypasses it and pushes directly to merge edits.</t>
  </si>
  <si>
    <t xml:space="preserve">Under ADR-0045 this stays in the manager (functions return data; the manager pushes history). Blocker for later 'record op name + params' is that snapshots are whole-scene object graphs with THREE objects, not serialisable. Two push paths exist (this and the direct push in setModelMeshModifiers) — any change to payload shape must update both.</t>
  </si>
  <si>
    <t xml:space="preserve">n/a (stays in manager per ADR-0045 rule 4)</t>
  </si>
  <si>
    <t xml:space="preserve">Each push adds exactly one undo entry; payload has modelId only when passed; description passes through to the toast. Pin the existing sceneEditHistory.dom-test cases (rename, hide, colour, repair) before any change.</t>
  </si>
  <si>
    <t xml:space="preserve">useSceneAutosave subscribes to history changes (subscribeHistory) and schedules a save on every push; page.tsx recomputes 'unsaved changes' on history change</t>
  </si>
  <si>
    <t xml:space="preserve">No — caller builds both snapshots</t>
  </si>
  <si>
    <t xml:space="preserve">store-scene-snapshot-pair</t>
  </si>
  <si>
    <t xml:space="preserve">storeSceneSnapshotPair, estimateSceneSnapshotRegistryBytes, estimateGeometryBytes, getSceneSnapshotRegistryBytes (module-level)</t>
  </si>
  <si>
    <t xml:space="preserve">Module-level registry that holds heavy snapshot pairs. Evicts oldest beyond 200 pairs, then evicts oldest while distinct geometry (counted once per BufferGeometry) exceeds ~300 MB, always keeping the newest. getSceneSnapshotRegistryBytes feeds the history debug panel.</t>
  </si>
  <si>
    <t xml:space="preserve">useSceneCollectionManager.ts:508-577 (outside range; called by pushSceneSnapshotHistory)</t>
  </si>
  <si>
    <t xml:space="preserve">Reads: sceneSnapshotRegistry, sceneSnapshotOrder, geometry attribute byteLengths
Writes: sceneSnapshotRegistry, sceneSnapshotOrder</t>
  </si>
  <si>
    <t xml:space="preserve">Mostly pure — no React; reads THREE attribute arrays for size and mutates a module singleton. Eviction policy itself is pure given sizes</t>
  </si>
  <si>
    <t xml:space="preserve">Eviction makes older undo entries decline (silently dropped) — defines how deep undo really is</t>
  </si>
  <si>
    <t xml:space="preserve">internal: pushSceneSnapshotHistory, setModelMeshModifiers (4137); getSceneSnapshotRegistryBytes from page.tsx (history debug); registry also read by geometry-disposal effect (7471) to keep snapshot geometry alive</t>
  </si>
  <si>
    <t xml:space="preserve">Re-estimates bytes over the whole registry on every push (O(n) per push). Registry also pins geometry from disposal (the tracked-geometries effect at ~7462 walks it). Moving it needs the disposal effect to keep a way to enumerate held geometry.</t>
  </si>
  <si>
    <t xml:space="preserve">planSnapshotEviction({ order: string[]; geometryKeysByEntry: Record&lt;string,{key:string;bytes:number}[]&gt;; maxEntries: number; maxBytes: number }) =&gt; { evict: string[] }</t>
  </si>
  <si>
    <t xml:space="preserve">201 pushes -&gt; first key gone. Two pairs sharing one 200 MB geometry count 200 MB not 400 MB. One pair alone over 300 MB is kept. Eviction order is FIFO.</t>
  </si>
  <si>
    <t xml:space="preserve">History debug panel in DiagnosticsModals via page.tsx polling</t>
  </si>
  <si>
    <t xml:space="preserve">return-object-surface</t>
  </si>
  <si>
    <t xml:space="preserve">return { ... } (153 keys)</t>
  </si>
  <si>
    <t xml:space="preserve">The hook's public surface: 153 keys (list in rows/return-keys.txt), grouped by comments into plates, selection, active-model compat, scene context (reports/prompts/repairs/recent files/view settings), actions, viewer settings and plugin import. Three keys are computed inline (getModelMeshModifiers, canPasteModel, onHeatmapColorChange); four are renamed aliases (fileName, meshColor, meshVisible, importPluginSceneFile).</t>
  </si>
  <si>
    <t xml:space="preserve">useSceneCollectionManager.ts:8113-8288</t>
  </si>
  <si>
    <t xml:space="preserve">Reads: everything
Writes: None</t>
  </si>
  <si>
    <t xml:space="preserve">Mostly React — a new object literal every render (no useMemo), so `scene` changes identity each render; page.tsx effects that depend on [scene] re-run every render (e.g. registerDeleteHandler effects ~9430).</t>
  </si>
  <si>
    <t xml:space="preserve">None — n/a</t>
  </si>
  <si>
    <t xml:space="preserve">src/app/page.tsx (the only production caller, line 799); dom tests: sceneEditHistory, removePlate, slicedPlates, mirrorHistory, holePunchHistory, hollowingHistory</t>
  </si>
  <si>
    <t xml:space="preserve">Unused or test-only keys found in this range: modelPlateFrame (unused), moveModelsToPlate (tests only). Two hook calls inside the literal.</t>
  </si>
  <si>
    <t xml:space="preserve">Type-level: a snapshot of Object.keys(scene) in a dom test so removals are deliberate.</t>
  </si>
  <si>
    <t xml:space="preserve">page.tsx effects keyed on the whole `scene` object re-register handlers (delete, hotkeys) on every render.</t>
  </si>
  <si>
    <t xml:space="preserve">other</t>
  </si>
  <si>
    <t xml:space="preserve">G</t>
  </si>
  <si>
    <t xml:space="preserve">plates-state</t>
  </si>
  <si>
    <t xml:space="preserve">plates, setPlates, activePlateId, setActivePlateId, activePlateIdRef, platesRef, activePlate, plateViewRunId</t>
  </si>
  <si>
    <t xml:space="preserve">Plate list (starts with one unnamed plate) and active plate; plateViewRunId is bumped when the user deliberately switches plates so the camera follows (not on drag-landing).</t>
  </si>
  <si>
    <t xml:space="preserve">Plates, phase 2</t>
  </si>
  <si>
    <t xml:space="preserve">useSceneCollectionManager.ts:1475-1493, 1522-1523</t>
  </si>
  <si>
    <t xml:space="preserve">Mostly React — state.</t>
  </si>
  <si>
    <t xml:space="preserve">Partial</t>
  </si>
  <si>
    <t xml:space="preserve">Partial — CLI round-trips doc.scene.plates/activePlateId but has no plate commands.</t>
  </si>
  <si>
    <t xml:space="preserve">Plates are recorded on snapshots only by entries that add/remove plates; renames not.</t>
  </si>
  <si>
    <t xml:space="preserve">plates: ModelsPanel, ExportPanelStack, page.tsx, useArrangeManager, voxl codec tests (27); activePlateId: 48 uses in 7 files; plateViewRunId: page.tsx:10831</t>
  </si>
  <si>
    <t xml:space="preserve">plateViewRunId is a camera signal, not scene data.</t>
  </si>
  <si>
    <t xml:space="preserve">plates</t>
  </si>
  <si>
    <t xml:space="preserve">plate-name</t>
  </si>
  <si>
    <t xml:space="preserve">plateName, setPlateName</t>
  </si>
  <si>
    <t xml:space="preserve">Active plate's name (the plate widget edits it; save writes it as legacy single-plate shorthand). setPlateName renames whichever plate is active at call time.</t>
  </si>
  <si>
    <t xml:space="preserve">useSceneCollectionManager.ts:1494-1502</t>
  </si>
  <si>
    <t xml:space="preserve">Reads: activePlateIdRef, plates
Writes: plates[active].name</t>
  </si>
  <si>
    <t xml:space="preserve">Mostly pure — a one-line map, wrapped in React state.</t>
  </si>
  <si>
    <t xml:space="preserve">None (renamePlate at 7959 is the explicit-id twin)</t>
  </si>
  <si>
    <t xml:space="preserve">None — no plate rename command.</t>
  </si>
  <si>
    <t xml:space="preserve">None (by design: plate renames are not history).</t>
  </si>
  <si>
    <t xml:space="preserve">page.tsx:10836 (onPlateNameChange), page.tsx:1200/4604 (save options), voxl codec writes plateName</t>
  </si>
  <si>
    <t xml:space="preserve">Implicit active-plate target; renamePlate already has the explicit form, so setPlateName can become renamePlate(activePlateId).</t>
  </si>
  <si>
    <t xml:space="preserve">renamePlate({ plates: {id,name}[], plateId, name }): {id,name}[]</t>
  </si>
  <si>
    <t xml:space="preserve">Rename with 2 plates only changes the active one; empty string allowed.</t>
  </si>
  <si>
    <t xml:space="preserve">Yes — active plate (activePlateIdRef)</t>
  </si>
  <si>
    <t xml:space="preserve">plate-lock</t>
  </si>
  <si>
    <t xml:space="preserve">lockedPlateIds, lockedPlateIdsRef, plateLocked, setPlateLocked</t>
  </si>
  <si>
    <t xml:space="preserve">Per-plate session lock (not saved). plateLocked = is the active plate locked; setPlateLocked(bool) locks/unlocks the active plate.</t>
  </si>
  <si>
    <t xml:space="preserve">useSceneCollectionManager.ts:1503-1520</t>
  </si>
  <si>
    <t xml:space="preserve">Reads: activePlateIdRef, lockedPlateIds
Writes: lockedPlateIds</t>
  </si>
  <si>
    <t xml:space="preserve">Mostly React — set add/remove in state.</t>
  </si>
  <si>
    <t xml:space="preserve">None — not a file field; CLI has no lock concept.</t>
  </si>
  <si>
    <t xml:space="preserve">None (session state).</t>
  </si>
  <si>
    <t xml:space="preserve">page.tsx:10850-10851 (plate widget toggle)</t>
  </si>
  <si>
    <t xml:space="preserve">Session/UI state; ADR question whether a lock is a scene rule at all (it gates edits).</t>
  </si>
  <si>
    <t xml:space="preserve">setPlateLock({ lockedPlateIds: string[], plateId, locked }): string[]</t>
  </si>
  <si>
    <t xml:space="preserve">Lock twice keeps one entry; unlock non-locked is no-op; switching active plate changes plateLocked.</t>
  </si>
  <si>
    <t xml:space="preserve">Yes — active plate</t>
  </si>
  <si>
    <t xml:space="preserve">model-plate-id</t>
  </si>
  <si>
    <t xml:space="preserve">modelPlateId, plateFramesRef</t>
  </si>
  <si>
    <t xml:space="preserve">The plate a model stands on (position inside a frame wins; stored plateId is fallback; else first plate), read from a ref of the current frames.</t>
  </si>
  <si>
    <t xml:space="preserve">useSceneCollectionManager.ts:1524-1538</t>
  </si>
  <si>
    <t xml:space="preserve">Reads: plateFramesRef (assigned at 7945)
Writes: None</t>
  </si>
  <si>
    <t xml:space="preserve">Mostly pure — delegates to plateLayout; ref is plumbing.</t>
  </si>
  <si>
    <t xml:space="preserve">resolveModelPlateId (plateLayout)</t>
  </si>
  <si>
    <t xml:space="preserve">Full</t>
  </si>
  <si>
    <t xml:space="preserve">Full — scene slice uses computePlateFrames/plateSliceScope from the same module.</t>
  </si>
  <si>
    <t xml:space="preserve">internal: isModelPlateLocked, lockedPlateIdFor, deleteModelsAndExtraPlates 8044, moveModelsToPlate 8094</t>
  </si>
  <si>
    <t xml:space="preserve">Already extracted; ref exists only because frames are computed 6000 lines later.</t>
  </si>
  <si>
    <t xml:space="preserve">done: resolveModelPlateId(model, frames) — note it takes two positional args, not one params object</t>
  </si>
  <si>
    <t xml:space="preserve">Covered by plateLayout.test.ts.</t>
  </si>
  <si>
    <t xml:space="preserve">Frames ref is written during render at 7945; before first render frames are [] so every model resolves to ''.</t>
  </si>
  <si>
    <t xml:space="preserve">No (model given)</t>
  </si>
  <si>
    <t xml:space="preserve">plate-lock-guards</t>
  </si>
  <si>
    <t xml:space="preserve">isModelPlateLocked, isActivePlateLocked, isPlateLocked</t>
  </si>
  <si>
    <t xml:space="preserve">Lock checks: is the plate this model stands on locked; is the active plate locked; is a named plate locked. (isModelPlateLocked and isPlateLocked are returned; isActivePlateLocked is internal.)</t>
  </si>
  <si>
    <t xml:space="preserve">useSceneCollectionManager.ts:1539-1554</t>
  </si>
  <si>
    <t xml:space="preserve">Reads: lockedPlateIdsRef, activePlateIdRef, plateFramesRef
Writes: None</t>
  </si>
  <si>
    <t xml:space="preserve">Mostly pure — set membership + plateLayout; refs are plumbing.</t>
  </si>
  <si>
    <t xml:space="preserve">resolveModelPlateId</t>
  </si>
  <si>
    <t xml:space="preserve">None — CLI ignores locks.</t>
  </si>
  <si>
    <t xml:space="preserve">isPlateLocked: useArrangeManager.ts:431,492; isModelPlateLocked: page.tsx (2); internal: selectModel 2657, updateModelTransform 3113-3114, updateModelTransforms 3380-3381, loadFiles 2697</t>
  </si>
  <si>
    <t xml:space="preserve">Locks are session state; guards are scattered at each gesture rather than in the rules.</t>
  </si>
  <si>
    <t xml:space="preserve">isModelOnLockedPlate({ model: PlateMember, frames, lockedPlateIds }): boolean</t>
  </si>
  <si>
    <t xml:space="preserve">Model on plate 2 with plate 2 locked -&gt; true; model dragged from unlocked bed onto locked bed -&gt; refused (both beds checked by callers).</t>
  </si>
  <si>
    <t xml:space="preserve">isActivePlateLocked: active plate; others explicit</t>
  </si>
  <si>
    <t xml:space="preserve">locked-plate-notice</t>
  </si>
  <si>
    <t xml:space="preserve">onBlockedByLockRef, lockedPlateIdFor, options.onBlockedByLock</t>
  </si>
  <si>
    <t xml:space="preserve">When a guard refuses a gesture, names which locked plate refused it (the bed it would land on if that is locked, else the bed it stands on) and calls the page's onBlockedByLock callback to show a notice.</t>
  </si>
  <si>
    <t xml:space="preserve">useSceneCollectionManager.ts:1555-1570, 1589</t>
  </si>
  <si>
    <t xml:space="preserve">Reads: lockedPlateIdsRef, plateFramesRef
Writes: None (calls callback)</t>
  </si>
  <si>
    <t xml:space="preserve">Mixed — choice of plate id is pure; delivery is a ref'd callback.</t>
  </si>
  <si>
    <t xml:space="preserve">internal: 2658, 3116, 3386; external: page.tsx:799 passes onBlockedByLock -&gt; notifyPlateLockedRef</t>
  </si>
  <si>
    <t xml:space="preserve">Callback-as-event; a pure rule would return { refused: true, plateId } instead.</t>
  </si>
  <si>
    <t xml:space="preserve">refusingPlateId({ model, landedTransform?, frames, lockedPlateIds }): string | null</t>
  </si>
  <si>
    <t xml:space="preserve">Drag from unlocked plate 1 to locked plate 2 -&gt; 'plate-2'; model on locked plate 1 -&gt; 'plate-1'.</t>
  </si>
  <si>
    <t xml:space="preserve">page.tsx notifyPlateLockedRef timer (2.6 s notice).</t>
  </si>
  <si>
    <t xml:space="preserve">clear-empty-plate-name</t>
  </si>
  <si>
    <t xml:space="preserve">useEffect (empty single plate clears name)</t>
  </si>
  <si>
    <t xml:space="preserve">When the scene has no models and only one plate, clears that plate's name so the widget shows its default label.</t>
  </si>
  <si>
    <t xml:space="preserve">useSceneCollectionManager.ts:1571-1579</t>
  </si>
  <si>
    <t xml:space="preserve">Reads: models.length, plates.length
Writes: plates[0].name</t>
  </si>
  <si>
    <t xml:space="preserve">Mostly React — effect; rule is one condition.</t>
  </si>
  <si>
    <t xml:space="preserve">None — CLI remove-model leaves plates/plateName untouched.</t>
  </si>
  <si>
    <t xml:space="preserve">None (not recorded; deleting last model then undo will not restore the name).</t>
  </si>
  <si>
    <t xml:space="preserve">internal effect</t>
  </si>
  <si>
    <t xml:space="preserve">Hidden side effect of deleting models; would have to become part of deleteModels' result or of 'new scene'.</t>
  </si>
  <si>
    <t xml:space="preserve">plateNamesAfterModelChange({ modelCount, plates }): ScenePlate[]</t>
  </si>
  <si>
    <t xml:space="preserve">1 plate named 'A', delete last model -&gt; name ''; 2 plates -&gt; unchanged; undo of delete does not restore 'A' (pin current behaviour).</t>
  </si>
  <si>
    <t xml:space="preserve">Yes — first plate</t>
  </si>
  <si>
    <t xml:space="preserve">printer-profile-subscription</t>
  </si>
  <si>
    <t xml:space="preserve">profileState, activePrinterProfile</t>
  </si>
  <si>
    <t xml:space="preserve">Subscribes to the global printer/material profile store and derives the active printer profile.</t>
  </si>
  <si>
    <t xml:space="preserve">useSceneCollectionManager.ts:1869-1870</t>
  </si>
  <si>
    <t xml:space="preserve">Reads: profile store (useSyncExternalStore)
Writes: None</t>
  </si>
  <si>
    <t xml:space="preserve">Mostly React — external store subscription.</t>
  </si>
  <si>
    <t xml:space="preserve">getActivePrinterProfile (profileStore)</t>
  </si>
  <si>
    <t xml:space="preserve">Partial — CLI slice takes the printer as a flag; other commands use none.</t>
  </si>
  <si>
    <t xml:space="preserve">Indirect: snapshots record printerProfileId; printer switch relayout at 7694.</t>
  </si>
  <si>
    <t xml:space="preserve">internal: view3dSettings, voxlPrinterBundle, relayout layout effect 7694-7760</t>
  </si>
  <si>
    <t xml:space="preserve">Med</t>
  </si>
  <si>
    <t xml:space="preserve">Global store; every plate rule depends on its build volume. Pure rules should take footprint {widthMm, depthMm, originMode}.</t>
  </si>
  <si>
    <t xml:space="preserve">n/a (state); pass footprint explicitly</t>
  </si>
  <si>
    <t xml:space="preserve">Profile store changes from ProfileSettingsModal/Onboarding trigger scene relayout via this subscription.</t>
  </si>
  <si>
    <t xml:space="preserve">Yes — 'the active printer' is global context</t>
  </si>
  <si>
    <t xml:space="preserve">multi-plate-ordering</t>
  </si>
  <si>
    <t xml:space="preserve">multiPlateSettings, followLandedPlateRef, plateOrdering, plateOrderingRef, appliedPlateOrderingRef</t>
  </si>
  <si>
    <t xml:space="preserve">Subscribes to multi-plate preferences: whether the active plate follows a model dropped on another bed, and the bed grid ordering (dynamic vs fixed columns). plateOrdering is returned; refs mirror it for stable callbacks; appliedPlateOrderingRef remembers the ordering models were last laid out under.</t>
  </si>
  <si>
    <t xml:space="preserve">useSceneCollectionManager.ts:1871-1888</t>
  </si>
  <si>
    <t xml:space="preserve">Reads: multiPlatePreferences store
Writes: refs</t>
  </si>
  <si>
    <t xml:space="preserve">Mostly React — store subscription + refs.</t>
  </si>
  <si>
    <t xml:space="preserve">plateOrderingFor (multiPlatePreferences), PlateOrdering (plateCascade)</t>
  </si>
  <si>
    <t xml:space="preserve">Partial — CLI slice reads ordering from the file extension VOXL_PLATE_ORDERING_EXTENSION (DYNAMIC default); the app reads it from user preferences and writes it to the file.</t>
  </si>
  <si>
    <t xml:space="preserve">Ordering change relayout effect 7774 uses appliedPlateOrderingRef.</t>
  </si>
  <si>
    <t xml:space="preserve">plateOrdering: page.tsx (4, save options); internal: followLandedPlateRef 3079, 3207, 3491; plateOrderingRef 6679, 7586, 7638, 7912, 8088; appliedPlateOrderingRef 7775-7777</t>
  </si>
  <si>
    <t xml:space="preserve">Med — — confirm the app writes plateOrdering into the VOXL extension on every save and restores it on load</t>
  </si>
  <si>
    <t xml:space="preserve">App ordering is a user preference, the CLI's is a file field: two sources of truth for the same layout.</t>
  </si>
  <si>
    <t xml:space="preserve">n/a (state); ordering is already a param of computePlateFrames</t>
  </si>
  <si>
    <t xml:space="preserve">Open a fixed-3-column file in an app set to dynamic: are beds relaid out? (pin).</t>
  </si>
  <si>
    <t xml:space="preserve">Preference store change -&gt; effect at 7774 shifts models and supports (shiftSupportsWithModels).</t>
  </si>
  <si>
    <t xml:space="preserve">Yes — global preference</t>
  </si>
  <si>
    <t xml:space="preserve">voxl-printer-bundle</t>
  </si>
  <si>
    <t xml:space="preserve">voxlPrinterBundle</t>
  </si>
  <si>
    <t xml:space="preserve">What a save embeds as the scene's printer: the active profile plus its materials, as a VoxlPrinterBundle (null without a printer).</t>
  </si>
  <si>
    <t xml:space="preserve">useSceneCollectionManager.ts:1912-1923</t>
  </si>
  <si>
    <t xml:space="preserve">Reads: activePrinterProfile, profileState
Writes: None</t>
  </si>
  <si>
    <t xml:space="preserve">Mostly pure — memo over a pure helper.</t>
  </si>
  <si>
    <t xml:space="preserve">toVoxlPrinterBundle, getMaterialProfilesForPrinter</t>
  </si>
  <si>
    <t xml:space="preserve">Partial — CLI save passes through doc.meta.printer unchanged; it never sets one (scene create has none).</t>
  </si>
  <si>
    <t xml:space="preserve">page.tsx:1201, 4605 (save/autosave options)</t>
  </si>
  <si>
    <t xml:space="preserve">Pure already; only the 'active' read is implicit.</t>
  </si>
  <si>
    <t xml:space="preserve">toVoxlPrinterBundle(profile, materials) — exists; wrap as buildPrinterBundle({ profile, materials })</t>
  </si>
  <si>
    <t xml:space="preserve">Bundle round-trip: CLI transform-model on an app file keeps meta.printer byte-identical.</t>
  </si>
  <si>
    <t xml:space="preserve">Yes — active printer</t>
  </si>
  <si>
    <t xml:space="preserve">export-save</t>
  </si>
  <si>
    <t xml:space="preserve">active-plate-rect</t>
  </si>
  <si>
    <t xml:space="preserve">activePlateRect</t>
  </si>
  <si>
    <t xml:space="preserve">Active plate's build-volume rectangle in world coordinates.</t>
  </si>
  <si>
    <t xml:space="preserve">useSceneCollectionManager.ts:2030-2046</t>
  </si>
  <si>
    <t xml:space="preserve">Reads: view3dSettings, plates, activePlateId, plateOrdering
Writes: None</t>
  </si>
  <si>
    <t xml:space="preserve">Mostly pure — duplicate of computePlateFrames for one plate.</t>
  </si>
  <si>
    <t xml:space="preserve">plateLocalRect, plateCascadeOffsetMm</t>
  </si>
  <si>
    <t xml:space="preserve">Partial — scene slice computes the same via computePlateFrames for --plate.</t>
  </si>
  <si>
    <t xml:space="preserve">internal: isRectInsidePlate, findFreeSpotCentersForModels, pasteCopiedModelsAutoArrange 5083</t>
  </si>
  <si>
    <t xml:space="preserve">Restates computePlateFrames; replace with plateFrames.find(active).</t>
  </si>
  <si>
    <t xml:space="preserve">plateRect({ frames, plateId }): PlateRect  (=== frame)</t>
  </si>
  <si>
    <t xml:space="preserve">Equals computePlateFrames(...) frame for the active id for every ordering/originMode.</t>
  </si>
  <si>
    <t xml:space="preserve">shift-supports-with-models</t>
  </si>
  <si>
    <t xml:space="preserve">shiftSupportsWithModels</t>
  </si>
  <si>
    <t xml:space="preserve">After a bed relayout moves models (printer switch, ordering change, plate removal), moves each moved model's supports by the same transform change, skipping models whose transform object is unchanged.</t>
  </si>
  <si>
    <t xml:space="preserve">useSceneCollectionManager.ts:493-500</t>
  </si>
  <si>
    <t xml:space="preserve">Reads: before/after model lists
Writes: support store (transformSupportsForModel)</t>
  </si>
  <si>
    <t xml:space="preserve">Mixed — diff is pure; applying writes the global support store and relies on object identity of transforms.</t>
  </si>
  <si>
    <t xml:space="preserve">transformSupportsForModel (supports/state)</t>
  </si>
  <si>
    <t xml:space="preserve">None — CLI save does not relayout; no command moves supports with models.</t>
  </si>
  <si>
    <t xml:space="preserve">None itself; callers push snapshot with support state.</t>
  </si>
  <si>
    <t xml:space="preserve">internal: 7726, 7788, 7805, 7821, 7860, 7991 (plate relayout/addPlate/dropPlates/removePlate)</t>
  </si>
  <si>
    <t xml:space="preserve">Identity check (was !== model.transform) is a React-ism; a pure version should compare values. Support transform math is support geometry (high risk).</t>
  </si>
  <si>
    <t xml:space="preserve">supportMovesForModelMoves({ before: {id, transform}[], after: {id, transform}[] }): Array&lt;{ modelId, from, to }&gt;</t>
  </si>
  <si>
    <t xml:space="preserve">Model moved +250 mm X (plate 2 relayout): every root/trunk/branch of that model moves +250; unmoved model's supports untouched; same transform values but new object currently counts as moved.</t>
  </si>
  <si>
    <t xml:space="preserve">supports-in-scene</t>
  </si>
  <si>
    <t xml:space="preserve">voxl-load-printer-relayout</t>
  </si>
  <si>
    <t xml:space="preserve">handleImportVoxlFile: shift models for the recorded printer's bed layout</t>
  </si>
  <si>
    <t xml:space="preserve">When the file records meta.printer.buildVolumeMm and has 2+ plates, moves each model by the difference between its plate's offset under the recorded bed size/ordering and the current one, so a model centred on plate 2 stays centred on plate 2; supports follow later via transform delta.</t>
  </si>
  <si>
    <t xml:space="preserve">useSceneCollectionManager.ts:6646-6668</t>
  </si>
  <si>
    <t xml:space="preserve">Reads: document.meta.printer, scenePlates, document.extensions.plateOrdering, view3dSettings, plateOrderingRef
Writes: importedModels positions (local)</t>
  </si>
  <si>
    <t xml:space="preserve">Mostly pure — rule lives in modelsShiftedForRelaidPlates (hook useCallback at 7622-7677) which only needs bed size and ordering; THREE Vector3 clone is incidental.</t>
  </si>
  <si>
    <t xml:space="preserve">modelsShiftedForRelaidPlates (hook), plateCascadeOffsetMm, plateLocalRect, readPlateOrdering</t>
  </si>
  <si>
    <t xml:space="preserve">None — `scene slice` lays plates out with the --printer footprint, not meta.printer, and never shifts models; slicing a scene authored on another printer picks the wrong models for plate 2+.</t>
  </si>
  <si>
    <t xml:space="preserve">internal: handleImportVoxlFile; modelsShiftedForRelaidPlates also used by plate add/remove and printer change</t>
  </si>
  <si>
    <t xml:space="preserve">Move modelsShiftedForRelaidPlates into plates/plateLayout as a pure fn over {transform.position, plateId}; the app's per-load call and the CLI slice then share it.</t>
  </si>
  <si>
    <t xml:space="preserve">shiftModelsForRelaidPlates({ before: {id}[], after: {id}[], models: Array&lt;{ id, transform:{position:{x,y}} }&gt;, laidOut: {widthMm,depthMm,originMode,ordering}, now: {widthMm,depthMm,originMode,ordering} }): Array&lt;{ id, dx, dy }&gt;</t>
  </si>
  <si>
    <t xml:space="preserve">File printer 300x200, current 200x120, 2 plates dynamic ordering: model at plate-2 centre moves by exactly the offset delta; single-plate file -&gt; no shift; same printer -&gt; no shift.</t>
  </si>
  <si>
    <t xml:space="preserve">Uses the current printer bed and current plate ordering from hook state</t>
  </si>
  <si>
    <t xml:space="preserve">F</t>
  </si>
  <si>
    <t xml:space="preserve">plate-offset-for</t>
  </si>
  <si>
    <t xml:space="preserve">plateOffsetFor (+ plateOffsetForRef)</t>
  </si>
  <si>
    <t xml:space="preserve">Cascade offset (dx, dy mm) of a plate by id: its index in the plate list, the current footprint and ordering. Unknown id or first plate gives (0,0).</t>
  </si>
  <si>
    <t xml:space="preserve">useSceneCollectionManager.ts:7580-7587</t>
  </si>
  <si>
    <t xml:space="preserve">Reads: platesRef, plateOrderingRef, view3dSettings.widthMm/depthMm
Writes: None</t>
  </si>
  <si>
    <t xml:space="preserve">Mostly pure — a one-line wrapper over plateCascadeOffsetMm; plumbing is useCallback + refs. Same thing as computePlateFrames(...).find(id).dxMm/dyMm.</t>
  </si>
  <si>
    <t xml:space="preserve">plates/plateCascade.ts plateCascadeOffsetMm</t>
  </si>
  <si>
    <t xml:space="preserve">Partial — scene slice gets the same offset via computePlateFrames/plateSliceScope.offsetMm; no standalone command.</t>
  </si>
  <si>
    <t xml:space="preserve">src/app/page.tsx (9670), src/features/scene/arrange/useArrangeManager.ts (374, 437); internal via plateOffsetForRef at 2117, 2246, 2770, 5369, 5412, 6157-6158</t>
  </si>
  <si>
    <t xml:space="preserve">Already pure underneath. Redundant with plateFrames (frame.dxMm/dyMm); keeping both is a second derivation of 'where is a plate'. Note it uses platesRef (live) while plateFrames is a memo of committed state — they can disagree within a tick.</t>
  </si>
  <si>
    <t xml:space="preserve">plateOffset({ plates, plateId, footprint, ordering }): { dxMm; dyMm } — or simply frames.find(f =&gt; f.id === plateId) from computePlateFrames</t>
  </si>
  <si>
    <t xml:space="preserve">Plates [a,b,c], footprint 200x100, dynamic: a-&gt;(0,0), b-&gt;(224,0), c-&gt;(0,124) [3 plates: 2x2 block]; unknown id -&gt; (0,0); fixed 3 cols: c-&gt;(448,0).</t>
  </si>
  <si>
    <t xml:space="preserve">plateOffsetForRef is read by paste/import placement declared earlier in the hook (2117, 2246, 2770, 5369, 5412, 6157).</t>
  </si>
  <si>
    <t xml:space="preserve">No (explicit plateId) — but plate list and ordering come from refs, not arguments</t>
  </si>
  <si>
    <t xml:space="preserve">plate-forward-refs</t>
  </si>
  <si>
    <t xml:space="preserve">addPlatesRef, plateOffsetForRef</t>
  </si>
  <si>
    <t xml:space="preserve">Forward-declaration refs so callbacks declared earlier in the hook (paste overflow, import placement, duplicate onto new beds) can call addPlates and plateOffsetFor, which are defined 5,000 lines later.</t>
  </si>
  <si>
    <t xml:space="preserve">useSceneCollectionManager.ts:7596-7602 (+ assignment 7917)</t>
  </si>
  <si>
    <t xml:space="preserve">Reads: addPlates, plateOffsetFor
Writes: addPlatesRef.current, plateOffsetForRef.current</t>
  </si>
  <si>
    <t xml:space="preserve">Mostly React — pure plumbing to dodge declaration order in one giant hook.</t>
  </si>
  <si>
    <t xml:space="preserve">internal: addPlatesRef at 2785, 5459, 6150; plateOffsetForRef at 2117, 2246, 2770, 5369, 5412, 6157-6158</t>
  </si>
  <si>
    <t xml:space="preserve">Disappears once plate layout is a pure module the earlier callbacks can call directly with explicit plates; addPlates' state write stays a manager concern.</t>
  </si>
  <si>
    <t xml:space="preserve">Covered by tests of paste-overflow / import-spill onto new beds: a paste larger than one bed creates a bed and lands at its offset.</t>
  </si>
  <si>
    <t xml:space="preserve">models-shifted-for-relaid-plates</t>
  </si>
  <si>
    <t xml:space="preserve">modelsShiftedForRelaidPlates</t>
  </si>
  <si>
    <t xml:space="preserve">When the bed grid is re-laid (plate added/removed, ordering switched, footprint changed), returns the model list with every model standing on a moved bed shifted by exactly that bed's move. Membership is judged against the OLD layout; models off every bed, and models on a removed bed, stay put. Returns the same array identity when nothing moves.</t>
  </si>
  <si>
    <t xml:space="preserve">useSceneCollectionManager.ts:7622-7678</t>
  </si>
  <si>
    <t xml:space="preserve">Reads: view3dSettings (widthMm, depthMm, originMode), plateOrderingRef; args before/after plates, models, options.laidOut, options.wasOrdering
Writes: None (returns new models)</t>
  </si>
  <si>
    <t xml:space="preserve">Mostly pure — all logic (old frames by id, from/to offsets, shift map, containment test) is pure; only THREE.Vector3 clone/add for the position and the useCallback wrapper are not. Re-derives frames by hand instead of computePlateFrames.</t>
  </si>
  <si>
    <t xml:space="preserve">plateCascadeOffsetMm, plateLocalRect (plates/)</t>
  </si>
  <si>
    <t xml:space="preserve">None — the CLI has no plate add/remove/ordering command, so nothing re-lays.</t>
  </si>
  <si>
    <t xml:space="preserve">None (callers push)</t>
  </si>
  <si>
    <t xml:space="preserve">internal: printer-switch layout effect (7712), ordering effect (7783), addPlate (7800), dropPlates (7853), addPlates (7899), removePlate (7987)</t>
  </si>
  <si>
    <t xml:space="preserve">Best next candidate for plateLayout.ts. Blockers: THREE.Vector3 positions (return shifts instead), implicit current footprint/ordering (make explicit 'from'/'to' layouts), and the hand-rolled frame rect duplicates computePlateFrames. Early-return when after.length&lt;=1 skips shifting when going 2-&gt;1 (only bed 1 left, offset 0, so harmless).</t>
  </si>
  <si>
    <t xml:space="preserve">relaidPlateShifts({ models: readonly PlateMember&amp;{id}[], from: { plates; footprint; ordering }, to: { plates; footprint; ordering } }): Map&lt;modelId, { dxMm; dyMm }&gt;</t>
  </si>
  <si>
    <t xml:space="preserve">Dynamic, 3 beds -&gt; add 4th -&gt; 5th: plate 3 moves from (0,row1) to (col2,row0); model on it shifts same delta, models on 1/2 unchanged. Remove middle bed of 3: bed 3 slides to slot 2. Model in gap between beds: unchanged. Fixed ordering add: no shift (identity preserved). Footprint 200-&gt;300 wide: bed 2 model shifts +100. Ordering dynamic-&gt;fixed with 4 beds: bed 4 moves.</t>
  </si>
  <si>
    <t xml:space="preserve">No for plates/models (passed in); current footprint and ordering are read from context</t>
  </si>
  <si>
    <t xml:space="preserve">relay-on-printer-switch</t>
  </si>
  <si>
    <t xml:space="preserve">useLayoutEffect (laidOutFootprintRef) — printer/footprint relayout</t>
  </si>
  <si>
    <t xml:space="preserve">When the active printer or its build footprint changes, shifts models (and their world-space supports) so they stay on the same bed under the new pitch, bumps plateViewRunId, and — only for a printer switch — pushes a 'Switch printer' snapshot history entry carrying both printer ids.</t>
  </si>
  <si>
    <t xml:space="preserve">useSceneCollectionManager.ts:7688-7762</t>
  </si>
  <si>
    <t xml:space="preserve">Reads: activePrinterProfile, view3dSettings (widthMm, depthMm, originMode), laidOutFootprintRef, platesRef, modelsRef, activeModelIdRef, selectedModelIdsRef, activePlateIdRef, support store (getSnapshot)
Writes: laidOutFootprintRef, modelsRef, models (setModels), support store (transformSupportsForModel via shiftSupportsWithModels), plateViewRunId, history</t>
  </si>
  <si>
    <t xml:space="preserve">Mixed — the shift is the pure modelsShiftedForRelaidPlates; the rest is effect timing, ref mirroring, support-store mutation and history snapshot capture.</t>
  </si>
  <si>
    <t xml:space="preserve">modelsShiftedForRelaidPlates, shiftSupportsWithModels (module fn 493), supportStateFor (503), captureSceneSnapshot, pushSceneSnapshotHistory, switchPrinterLabel/SWITCH_PRINTER_LABEL (sceneHistoryLabels.ts)</t>
  </si>
  <si>
    <t xml:space="preserve">None — CLI has no printer switch; slice takes --printer for the job but frames come from job build size without moving models.</t>
  </si>
  <si>
    <t xml:space="preserve">pushSceneSnapshotHistory(before, after, switchPrinterLabel(name)) with printerProfileId before/after and support state; none for a same-profile footprint edit. Snapshot restore (2302-2316) rewrites laidOutFootprintRef so undo is not seen as a new switch.</t>
  </si>
  <si>
    <t xml:space="preserve">internal: React effect (deps activePrinterProfile, view3dSettings)</t>
  </si>
  <si>
    <t xml:space="preserve">Med — — check that a footprint edit via settings (same profile) does not also push history through another path, and that originMode change alone does not trigger it (it is a dep but not compared).</t>
  </si>
  <si>
    <t xml:space="preserve">Hidden coupling: restoreSceneSnapshot writes laidOutFootprintRef to suppress this effect. A headless 'set printer' would need: relaidPlateShifts + support shifts + snapshot. Supports are world-space, so any pure version must also return support deltas (supports-in-scene concern).</t>
  </si>
  <si>
    <t xml:space="preserve">relayoutForFootprint({ models, plates, ordering, fromFootprint, toFootprint }): { modelShifts: Map&lt;id,{dxMm,dyMm}&gt; } (CLI would also translate doc.supports for shifted model ids)</t>
  </si>
  <si>
    <t xml:space="preserve">2 beds, model + trunk on bed 2; switch printer 200-&gt;300 wide: model x +100, trunk x +100, one history entry 'Switch printer'; undo restores x and printer id without re-shifting. Same profile volume edit: shift, no history entry. Single bed: no shift.</t>
  </si>
  <si>
    <t xml:space="preserve">Printer profile store (setActivePrinterProfile) and restoreSceneSnapshot both write laidOutFootprintRef; originMode is a dependency but changes to it alone are ignored.</t>
  </si>
  <si>
    <t xml:space="preserve">Yes — all models, whole plate list; triggered by the global active printer profile</t>
  </si>
  <si>
    <t xml:space="preserve">relay-on-ordering-change</t>
  </si>
  <si>
    <t xml:space="preserve">useEffect (appliedPlateOrderingRef) — plate ordering relayout</t>
  </si>
  <si>
    <t xml:space="preserve">When the Multi-Plate 'ordering' setting changes (fixed/dynamic or column count), shifts models and their supports with their beds and bumps plateViewRunId. Deliberately no history entry: ordering is a setting.</t>
  </si>
  <si>
    <t xml:space="preserve">useSceneCollectionManager.ts:7774-7793</t>
  </si>
  <si>
    <t xml:space="preserve">Reads: plateOrdering (from multi-plate settings store), appliedPlateOrderingRef, platesRef, modelsRef
Writes: appliedPlateOrderingRef, modelsRef, models, support store, plateViewRunId</t>
  </si>
  <si>
    <t xml:space="preserve">Mixed — the shift is pure (modelsShiftedForRelaidPlates with wasOrdering); the rest is an effect reacting to a useSyncExternalStore setting.</t>
  </si>
  <si>
    <t xml:space="preserve">modelsShiftedForRelaidPlates, shiftSupportsWithModels</t>
  </si>
  <si>
    <t xml:space="preserve">Partial — CLI reads the plateOrdering VOXL extension (readPlateOrdering) for slice frames, but has no command to change it or move models.</t>
  </si>
  <si>
    <t xml:space="preserve">None (by design). Note: snapshots taken before the switch hold pre-switch positions, so undoing past the switch restores positions laid out for the other ordering.</t>
  </si>
  <si>
    <t xml:space="preserve">internal: React effect on plateOrdering (multiPlatePreferences store via SettingsModal MultiPlateSettingsTab)</t>
  </si>
  <si>
    <t xml:space="preserve">Med — — check how loading a scene with a plateOrdering extension interacts with appliedPlateOrderingRef, and undo across a switch.</t>
  </si>
  <si>
    <t xml:space="preserve">Undo across an ordering switch looks unsafe (positions in history are in the old layout, restore does not re-shift, unlike printer switch which records printer id). Loading a .voxl with its own ordering extension — does load set the setting and fire this effect against loaded positions? Not traced.</t>
  </si>
  <si>
    <t xml:space="preserve">relayoutForOrdering({ models, plates, footprint, fromOrdering, toOrdering }): Map&lt;modelId,{dxMm,dyMm}&gt;</t>
  </si>
  <si>
    <t xml:space="preserve">4 beds dynamic -&gt; fixed 3: bed 3 moves from (0,1) to (2,0), bed 4 from (1,1) to (0,1); models follow; 1 bed: no-op; same ordering re-set: no-op.</t>
  </si>
  <si>
    <t xml:space="preserve">multi-plate settings store (subscribeToMultiPlateSettings), SettingsModal/MultiPlateSettingsTab writes it; useSceneAutosave and ExportManager persist plateOrdering to the VOXL extension.</t>
  </si>
  <si>
    <t xml:space="preserve">Yes — all models; triggered by global setting</t>
  </si>
  <si>
    <t xml:space="preserve">add-plate</t>
  </si>
  <si>
    <t xml:space="preserve">addPlate</t>
  </si>
  <si>
    <t xml:space="preserve">Appends one empty plate (new uuid, empty name) after the last; shifts models/supports on beds the dynamic grid re-lays; does not change the active plate. Pushes 'Add plate N' history unless pushHistory:false (caller folds it into its own step). Returns the new id.</t>
  </si>
  <si>
    <t xml:space="preserve">useSceneCollectionManager.ts:7795-7832</t>
  </si>
  <si>
    <t xml:space="preserve">Reads: platesRef, modelsRef, activeModelIdRef, selectedModelIdsRef, activePlateIdRef, support store
Writes: plates, models, support store, history</t>
  </si>
  <si>
    <t xml:space="preserve">Mixed — real rule is 'append + relay shift' (pure); rest is snapshot capture, setState and support-store mutation. Unlike dropPlates/removePlate it does not update platesRef/modelsRef synchronously.</t>
  </si>
  <si>
    <t xml:space="preserve">modelsShiftedForRelaidPlates, shiftSupportsWithModels, supportStateFor, captureSceneSnapshot, pushSceneSnapshotHistory, addPlateLabel</t>
  </si>
  <si>
    <t xml:space="preserve">None — no plate add command; a CLI save preserves plates but cannot create one.</t>
  </si>
  <si>
    <t xml:space="preserve">pushSceneSnapshotHistory(before, after, addPlateLabel(next.length)) with plates + activePlateId + support state if any; none with {pushHistory:false}</t>
  </si>
  <si>
    <t xml:space="preserve">src/app/page.tsx (8536 drag-spawn with pushHistory:false, 8539, 10833 Models panel +); tests removePlate.dom-test.tsx</t>
  </si>
  <si>
    <t xml:space="preserve">uuidv4 inside: pure version should take the new id (or an id factory) as a param for determinism/parity. Refs not updated in the same tick (addPlates and dropPlates do) — a second addPlate in one tick would append to a stale list.</t>
  </si>
  <si>
    <t xml:space="preserve">addPlate({ plates, models, footprint, ordering, newPlate: { id, name } }): { plates; modelShifts: Map&lt;id,{dxMm,dyMm}&gt; }</t>
  </si>
  <si>
    <t xml:space="preserve">1 bed -&gt; addPlate: 2 plates, active unchanged, 1 history entry 'Add plate 2', models untouched. Dynamic 4-&gt;5 beds: model on bed 3 shifted. pushHistory:false: no entry. Undo removes the bed and restores positions.</t>
  </si>
  <si>
    <t xml:space="preserve">Drag-to-empty-bed spawn in page.tsx folds plateSpawn into the pending transform history.</t>
  </si>
  <si>
    <t xml:space="preserve">Partly — position is always 'after the last'; no explicit target needed. Snapshot reads active/selection refs.</t>
  </si>
  <si>
    <t xml:space="preserve">drop-plates</t>
  </si>
  <si>
    <t xml:space="preserve">dropPlates</t>
  </si>
  <si>
    <t xml:space="preserve">Removes named plates WITHOUT touching their models (for an arrange run about to move them all); shifts models on remaining beds with the relay; moves active plate to the first remaining one if it was dropped. Refuses (returns current) if nothing matches or all would go. No history: caller folds it.</t>
  </si>
  <si>
    <t xml:space="preserve">useSceneCollectionManager.ts:7847-7870</t>
  </si>
  <si>
    <t xml:space="preserve">Reads: platesRef, modelsRef, activePlateIdRef
Writes: platesRef, plates, modelsRef, models, support store, activePlateId, plateViewRunId</t>
  </si>
  <si>
    <t xml:space="preserve">Mixed — filter + relay shift + active-plate fallback are pure; plumbing is synchronous ref writes (so arrange can read them in the same tick) and setState.</t>
  </si>
  <si>
    <t xml:space="preserve">None — CLI arrange (computeHighPrecisionArrangeUpdates) packs one plate; no multi-bed fill, no plate removal.</t>
  </si>
  <si>
    <t xml:space="preserve">None — folded by caller (useArrangeManager passes platesBefore/platesAfter to updateModelTransforms history)</t>
  </si>
  <si>
    <t xml:space="preserve">src/features/scene/arrange/useArrangeManager.ts (1151, 1432)</t>
  </si>
  <si>
    <t xml:space="preserve">Same-tick ref contract with arrange is the real coupling; a pure 'plan the bed list then place' function returning plates+shifts would remove it. Can drop the first plate (unlike removePlate) — intended?</t>
  </si>
  <si>
    <t xml:space="preserve">dropPlates({ plates, models, footprint, ordering, plateIds, activePlateId }): { plates; activePlateId; modelShifts }</t>
  </si>
  <si>
    <t xml:space="preserve">Beds [1,2,3], drop [2]: plates [1,3], bed-3 models shift into slot 2, bed-2 models stay put; drop all: unchanged; drop active: active=first remaining and view run bumped.</t>
  </si>
  <si>
    <t xml:space="preserve">No (explicit plateIds)</t>
  </si>
  <si>
    <t xml:space="preserve">add-plates</t>
  </si>
  <si>
    <t xml:space="preserve">addPlates</t>
  </si>
  <si>
    <t xml:space="preserve">Appends `count` empty plates and returns { plates, added, offsets } — every bed's final cascade offset — so a multi-bed run can place models into beds that do not exist yet. Shifts relaid models; no history (caller folds it).</t>
  </si>
  <si>
    <t xml:space="preserve">useSceneCollectionManager.ts:7886-7917</t>
  </si>
  <si>
    <t xml:space="preserve">Reads: platesRef, modelsRef, view3dSettings, plateOrderingRef
Writes: plates, modelsRef, models</t>
  </si>
  <si>
    <t xml:space="preserve">Mixed — new plates + offsets + relay are pure; plumbing is setState and the same-tick modelsRef write. Does NOT write platesRef and does NOT call shiftSupportsWithModels, unlike addPlate/dropPlates/removePlate.</t>
  </si>
  <si>
    <t xml:space="preserve">modelsShiftedForRelaidPlates, plateCascadeOffsetMm</t>
  </si>
  <si>
    <t xml:space="preserve">None — no multi-bed arrange/duplicate in CLI.</t>
  </si>
  <si>
    <t xml:space="preserve">None — folded by caller (arrange, duplicate, paste/import spill)</t>
  </si>
  <si>
    <t xml:space="preserve">src/features/scene/arrange/useArrangeManager.ts (1153, 1434, 1752 duplicate ghosts); internal via addPlatesRef at 2785 (import spill), 5459 (paste), 6150 (paste/duplicate seats)</t>
  </si>
  <si>
    <t xml:space="preserve">Med — — confirm the missing support shift with a dynamic-ordering, 4-&gt;5 bed arrange where a supported model sits on bed 3 outside the run.</t>
  </si>
  <si>
    <t xml:space="preserve">Suspected bug: supports of models on a relaid bed are not shifted (no shiftSupportsWithModels), only under the dynamic ordering where adding re-lays. Also platesRef not updated, so a dropPlates-&gt;addPlates in one tick is fine only because dropPlates wrote it. Offsets duplicate computePlateFrames.</t>
  </si>
  <si>
    <t xml:space="preserve">addPlates({ plates, models, footprint, ordering, newPlates: {id,name}[] }): { plates; added; frames: PlateFrame[]; modelShifts }</t>
  </si>
  <si>
    <t xml:space="preserve">Dynamic, 4 beds, model+trunk on bed 3 not in the run; addPlates(1): model shifts; assert trunk shifts too (likely fails today). Fixed ordering: offsets for new beds = (col,row) pitch; count 0: returns current, no state change.</t>
  </si>
  <si>
    <t xml:space="preserve">No (count); positions always appended</t>
  </si>
  <si>
    <t xml:space="preserve">activate-plate</t>
  </si>
  <si>
    <t xml:space="preserve">activatePlate</t>
  </si>
  <si>
    <t xml:space="preserve">Makes a plate the one being worked on: clears selection and active model, sets activePlateId, bumps plateViewRunId so the camera slides there. Ignores unknown or already-active ids.</t>
  </si>
  <si>
    <t xml:space="preserve">useSceneCollectionManager.ts:7919-7932</t>
  </si>
  <si>
    <t xml:space="preserve">Reads: platesRef, activePlateIdRef
Writes: selectedModelIds, activeModelId, activePlateId, plateViewRunId</t>
  </si>
  <si>
    <t xml:space="preserve">Mostly React — a guard and four setStates; the only 'rule' is 'switching beds clears the selection'.</t>
  </si>
  <si>
    <t xml:space="preserve">None — VOXL scene.activePlateId is preserved on save but no command sets it; slice --plate selects without changing it.</t>
  </si>
  <si>
    <t xml:space="preserve">None (active plate is not a history step)</t>
  </si>
  <si>
    <t xml:space="preserve">src/components/organisms/panels/ModelsPanel.tsx (61), src/app/page.tsx (10832 SceneCanvas onActivatePlate)</t>
  </si>
  <si>
    <t xml:space="preserve">Session/view state, not document content, except activePlateId which is saved in VOXL. A CLI 'scene set-active-plate' would be trivial.</t>
  </si>
  <si>
    <t xml:space="preserve">n/a (UI plumbing) — CLI equivalent: setActivePlate({ plates, plateId }): string | null</t>
  </si>
  <si>
    <t xml:space="preserve">Select a model on bed 1, activate bed 2: selection empty, active model null, view run +1; activate same bed: no change; unknown id: no change.</t>
  </si>
  <si>
    <t xml:space="preserve">ModelsPanel plate header then selects that plate's models right after (comment 7925-7927).</t>
  </si>
  <si>
    <t xml:space="preserve">No (explicit plateId)</t>
  </si>
  <si>
    <t xml:space="preserve">selection</t>
  </si>
  <si>
    <t xml:space="preserve">plate-frames</t>
  </si>
  <si>
    <t xml:space="preserve">plateFrames (+ plateFramesRef)</t>
  </si>
  <si>
    <t xml:space="preserve">Every plate's world rect and cascade offset, memoized from plates, footprint (width, depth, originMode) and ordering; mirrored into plateFramesRef for callbacks declared earlier. The single source the canvas, placement, bounds checks and slice scopes read.</t>
  </si>
  <si>
    <t xml:space="preserve">useSceneCollectionManager.ts:7940-7945</t>
  </si>
  <si>
    <t xml:space="preserve">Reads: plates, view3dSettings, plateOrdering
Writes: plateFramesRef.current</t>
  </si>
  <si>
    <t xml:space="preserve">Mostly pure — already delegates entirely to computePlateFrames; plumbing is useMemo + ref mirror.</t>
  </si>
  <si>
    <t xml:space="preserve">plates/plateLayout.ts computePlateFrames (done per ADR-0045)</t>
  </si>
  <si>
    <t xml:space="preserve">Full — scene slice builds frames with computePlateFrames (originMode forced to 'center', ordering from VOXL extension, default DYNAMIC). Differs if the app used front_left origin.</t>
  </si>
  <si>
    <t xml:space="preserve">src/components/scene/SceneCanvas/SceneCanvas.tsx (21 refs), src/app/page.tsx (12), src/features/scene/arrange/useArrangeManager.ts (4), src/components/organisms/panels/ExportPanelStack.tsx (5)</t>
  </si>
  <si>
    <t xml:space="preserve">Done. Remaining issue: plateFramesRef is [] until first render commits, and between setPlates and re-render the ref is stale (callers like removePlate read plateFramesRef with the OLD layout, which is what they want). Five other sites in the hook still hand-roll plate rects (defaultImportCenterXY 2006, activePlateRect 2030, 2768, 2790, 6037, 6674, moveModelsToPlate, modelsShiftedForRelaidPlates).</t>
  </si>
  <si>
    <t xml:space="preserve">computePlateFrames({ plates, footprint, ordering }): PlateFrame[] (exists)</t>
  </si>
  <si>
    <t xml:space="preserve">Exists in plates/__tests__/plateLayout.test.ts. Add: front_left originMode CLI parity (CLI forces center).</t>
  </si>
  <si>
    <t xml:space="preserve">resolve-model-plate-id</t>
  </si>
  <si>
    <t xml:space="preserve">The plate a model stands on: frame containing its XY, else its stored plateId if that plate exists, else the first plate. Bound to the current plateFrames memo.</t>
  </si>
  <si>
    <t xml:space="preserve">useSceneCollectionManager.ts:7948-7951</t>
  </si>
  <si>
    <t xml:space="preserve">Reads: plateFrames
Writes: None</t>
  </si>
  <si>
    <t xml:space="preserve">Mostly pure — a one-line wrapper over plateLayout.resolveModelPlateId (imported as plateIdForModel). Twin modelPlateId (1535) reads plateFramesRef instead of the memo.</t>
  </si>
  <si>
    <t xml:space="preserve">plates/plateLayout.ts resolveModelPlateId</t>
  </si>
  <si>
    <t xml:space="preserve">Full — scene slice uses resolveModelPlateId for its 'not sliced: stands on plate N' report.</t>
  </si>
  <si>
    <t xml:space="preserve">src/features/scene/arrange/useArrangeManager.ts (6), src/components/controls/ModelManagerPanel.tsx (via prop), src/components/organisms/panels/ModelsPanel.tsx, src/components/scene/SceneCanvas/SceneCanvas.tsx, src/app/page.tsx</t>
  </si>
  <si>
    <t xml:space="preserve">Done. Two hook wrappers (modelPlateId on the ref, resolveModelPlateId on the memo) may answer differently within a tick.</t>
  </si>
  <si>
    <t xml:space="preserve">resolveModelPlateId(model, frames) (exists; note: two positional args, not a params object as ADR rule 4 asks)</t>
  </si>
  <si>
    <t xml:space="preserve">Exists (plateLayout.test.ts). Add: edge-on-boundary between two adjacent frames is impossible (24mm gap) but a model exactly on maxX belongs to that plate.</t>
  </si>
  <si>
    <t xml:space="preserve">No (explicit model)</t>
  </si>
  <si>
    <t xml:space="preserve">model-plate-frame</t>
  </si>
  <si>
    <t xml:space="preserve">modelPlateFrame</t>
  </si>
  <si>
    <t xml:space="preserve">The PlateFrame of the plate a model stands on, falling back to the first frame.</t>
  </si>
  <si>
    <t xml:space="preserve">useSceneCollectionManager.ts:7954-7957</t>
  </si>
  <si>
    <t xml:space="preserve">Mostly pure — find over frames using resolveModelPlateId.</t>
  </si>
  <si>
    <t xml:space="preserve">None — not needed by any command.</t>
  </si>
  <si>
    <t xml:space="preserve">None found outside the hook (grep of src/ and scripts/); not used internally either</t>
  </si>
  <si>
    <t xml:space="preserve">Dead returned key. Candidate for removal rather than extraction, or a two-line addition to plateLayout.ts.</t>
  </si>
  <si>
    <t xml:space="preserve">modelPlateFrame({ model, frames }): PlateFrame | undefined</t>
  </si>
  <si>
    <t xml:space="preserve">If kept: model on bed 2 -&gt; frame 2; model off all beds with stale plateId of a deleted plate -&gt; frame 1.</t>
  </si>
  <si>
    <t xml:space="preserve">rename-plate</t>
  </si>
  <si>
    <t xml:space="preserve">renamePlate</t>
  </si>
  <si>
    <t xml:space="preserve">Sets a plate's name by id.</t>
  </si>
  <si>
    <t xml:space="preserve">useSceneCollectionManager.ts:7959-7961</t>
  </si>
  <si>
    <t xml:space="preserve">Reads: plates (functional setState)
Writes: plates</t>
  </si>
  <si>
    <t xml:space="preserve">Mostly pure — a map over plates inside setPlates.</t>
  </si>
  <si>
    <t xml:space="preserve">None — no plate rename command; names survive a CLI save.</t>
  </si>
  <si>
    <t xml:space="preserve">None — deliberately (comment at 1476-1479: 'undoing a rename is not something the history is for'); setPlateName is the active-plate twin.</t>
  </si>
  <si>
    <t xml:space="preserve">src/components/organisms/panels/ModelsPanel.tsx (62), src/app/page.tsx (10834); tests removePlate.dom-test.tsx</t>
  </si>
  <si>
    <t xml:space="preserve">Not blocked; trivially pure. Not refused on a locked plate (setPlateLocked locks edits, not names) — confirm intended.</t>
  </si>
  <si>
    <t xml:space="preserve">renamePlate({ plates, plateId, name }): ScenePlate[]</t>
  </si>
  <si>
    <t xml:space="preserve">Rename bed 2 'X': only bed 2 changes; unknown id: unchanged list; empty string allowed (placeholder shows 'Plate N').</t>
  </si>
  <si>
    <t xml:space="preserve">remove-plate</t>
  </si>
  <si>
    <t xml:space="preserve">removePlate</t>
  </si>
  <si>
    <t xml:space="preserve">Deletes a plate and every model standing on it (by position), as one history step. Refuses the first plate and the last remaining one. Beds after it slide down a slot with their models and supports; active plate falls back to the first remaining.</t>
  </si>
  <si>
    <t xml:space="preserve">useSceneCollectionManager.ts:7968-8020</t>
  </si>
  <si>
    <t xml:space="preserve">Reads: platesRef, modelsRef, plateFramesRef, activePlateIdRef, activeModelIdRef, selectedModelIdsRef, support store
Writes: platesRef, plates, modelsRef, models, support store, activePlateId, plateViewRunId, then via deleteModels: models, supports, selection; history</t>
  </si>
  <si>
    <t xml:space="preserve">Mixed — the plan (guard, doomed = modelsOnPlate, remaining, next active, relay shift) is pure; plumbing is async deleteModels(pushHistory:false) + waitForUiYield before the after-snapshot, plus synchronous ref writes.</t>
  </si>
  <si>
    <t xml:space="preserve">modelsOnPlate (plateLayout), modelsShiftedForRelaidPlates, shiftSupportsWithModels, deleteModels, captureSceneSnapshot, pushSceneSnapshotHistory, deletePlateLabel</t>
  </si>
  <si>
    <t xml:space="preserve">None — scene remove-model removes one model and its supports (roots/trunks/branches/leaves/braces only), no plate removal; CLI save keeps plates.</t>
  </si>
  <si>
    <t xml:space="preserve">One pushSceneSnapshotHistory(before, after, deletePlateLabel(n)) with includeSupportState:true, pushed after waitForUiYield; deleteModels told pushHistory:false</t>
  </si>
  <si>
    <t xml:space="preserve">src/app/page.tsx (10863 empty-bed trash, 11688 confirm dialog), src/components/organisms/panels/ModelsPanel.tsx (63); test removePlate.dom-test.tsx</t>
  </si>
  <si>
    <t xml:space="preserve">Med — — check lock handling inside deleteModels and the support-kind coverage of the CLI remove path.</t>
  </si>
  <si>
    <t xml:space="preserve">Timing: the history push is fire-and-forget after a UI yield, so a quick second edit can interleave. deleteModels does geometry disposal/worker cleanup — only the plan is extractable. Lock not checked (deleteModels may check per model — not traced).</t>
  </si>
  <si>
    <t xml:space="preserve">planRemovePlate({ plates, models, frames, footprint, ordering, plateId, activePlateId }): { ok: false } | { ok: true; plates; activePlateId; deleteModelIds; modelShifts }</t>
  </si>
  <si>
    <t xml:space="preserve">Existing removePlate.dom-test: 4 beds, delete bed 2 -&gt; c/d keep their plate ids, supports follow. Add: first plate -&gt; false; only plate -&gt; false; one undo restores bed, models, supports; active bed deleted -&gt; active=first remaining.</t>
  </si>
  <si>
    <t xml:space="preserve">delete-models-and-extra-plates</t>
  </si>
  <si>
    <t xml:space="preserve">deleteModelsAndExtraPlates</t>
  </si>
  <si>
    <t xml:space="preserve">Select-all delete: deletes the given models and, if no surviving model stands on a bed other than the first, every bed but the first, in one history step. Otherwise falls back to plain deleteModels.</t>
  </si>
  <si>
    <t xml:space="preserve">useSceneCollectionManager.ts:8034-8075</t>
  </si>
  <si>
    <t xml:space="preserve">Reads: platesRef, modelsRef, activePlateIdRef, activeModelIdRef, selectedModelIdsRef, plateFramesRef (via modelPlateId)
Writes: plates, activePlateId, plateViewRunId, models/supports via deleteModels, history</t>
  </si>
  <si>
    <t xml:space="preserve">Mixed — the decision (which beds survive) is a few pure lines; the rest is async delete + waitForUiYield + snapshot. Does not shift models (none survive on extra beds, so no relay needed).</t>
  </si>
  <si>
    <t xml:space="preserve">modelPlateId (-&gt; plateLayout.resolveModelPlateId), deleteModels, captureSceneSnapshot, pushSceneSnapshotHistory, DELETE_MODELS_AND_PLATES_LABEL</t>
  </si>
  <si>
    <t xml:space="preserve">None — remove-model is single-model; no plate pruning.</t>
  </si>
  <si>
    <t xml:space="preserve">One pushSceneSnapshotHistory(..., DELETE_MODELS_AND_PLATES_LABEL) with support state; or deleteModels' own entry on fallback</t>
  </si>
  <si>
    <t xml:space="preserve">src/app/page.tsx (9443, 9462 — delete handlers registered via registerDeleteHandler when select-all is active)</t>
  </si>
  <si>
    <t xml:space="preserve">Ordering hazard: setPlates(remaining) before deleteModels awaits; models on extra beds are briefly on a scene with one plate. Surviving hidden models on bed 1 keep the scene. Rule worth a pure 'platesLeftAfterDelete'.</t>
  </si>
  <si>
    <t xml:space="preserve">planDeleteModelsAndExtraPlates({ plates, models, frames, deleteIds }): { plates; activePlateId; deleteModelIds } (plates unchanged when a survivor stands off bed 1)</t>
  </si>
  <si>
    <t xml:space="preserve">3 beds, all visible models selected -&gt; 1 bed, 0 models, 1 undo entry; a hidden model on bed 2 not in ids -&gt; beds kept, plain delete; 1 bed -&gt; plain delete; undo restores all beds and active plate.</t>
  </si>
  <si>
    <t xml:space="preserve">registerDeleteHandler priority registry (page.tsx, priorities 30/20) + isSelectAllModelsActive page state decide which delete runs.</t>
  </si>
  <si>
    <t xml:space="preserve">No (explicit ids) — but the caller passes the selection or all models; the plate set to drop is implicit ('all but first').</t>
  </si>
  <si>
    <t xml:space="preserve">move-models-to-plate</t>
  </si>
  <si>
    <t xml:space="preserve">moveModelsToPlate</t>
  </si>
  <si>
    <t xml:space="preserve">Moves models to another plate keeping their position relative to their bed: each is translated by (target offset - source offset) via updateModelTransform, then stamped with plateId.</t>
  </si>
  <si>
    <t xml:space="preserve">useSceneCollectionManager.ts:8082-8111</t>
  </si>
  <si>
    <t xml:space="preserve">Reads: platesRef, modelsRef, plateOrderingRef, view3dSettings, plateFramesRef (via modelPlateId)
Writes: models (transform + plateId), supports (via updateModelTransform), possibly activePlateId/plateViewRunId (updateModelTransform follow-landed-plate)</t>
  </si>
  <si>
    <t xml:space="preserve">Mixed — offset delta per model is pure; applying goes through updateModelTransform (lock checks, support transforms, follow-plate) model by model, then a separate setModels to stamp plateId.</t>
  </si>
  <si>
    <t xml:space="preserve">plateCascadeOffsetMm, modelPlateId (plateLayout), updateModelTransform</t>
  </si>
  <si>
    <t xml:space="preserve">None — transform-model writes a position directly; no plate-relative move.</t>
  </si>
  <si>
    <t xml:space="preserve">None — no commitModelTransformHistory call, so the move is not undoable.</t>
  </si>
  <si>
    <t xml:space="preserve">None in app code; only tests (removePlate.dom-test.tsx, slicedPlates.dom-test.tsx)</t>
  </si>
  <si>
    <t xml:space="preserve">Test-only API with no undo and per-model updateModelTransform (each may follow a landed plate and bump the camera; a locked target refuses the move but plateId is still stamped). Clear headless candidate: it is exactly what a CLI 'scene move-to-plate' would do. Hand-rolls offsets instead of frames.</t>
  </si>
  <si>
    <t xml:space="preserve">moveModelsToPlate({ models, frames, modelIds, plateId }): { id; position: {x,y,z}; plateId }[]</t>
  </si>
  <si>
    <t xml:space="preserve">Dynamic 2 beds 200x100: model at (10,5) on bed 1 -&gt; bed 2 at (234,5), plateId=bed2; already on target: unchanged; unknown plate: no-op; locked target: model stays AND plateId not stamped (fails today?).</t>
  </si>
  <si>
    <t xml:space="preserve">No (explicit ids and plateId)</t>
  </si>
  <si>
    <t xml:space="preserve">active-plate-name-and-lock</t>
  </si>
  <si>
    <t xml:space="preserve">plateName, setPlateName, plateLocked, setPlateLocked, isPlateLocked, isModelPlateLocked (returned, defined 1497-1545)</t>
  </si>
  <si>
    <t xml:space="preserve">Active-plate name and setter (edits whichever plate is active), and per-plate session locks: whether the active plate is locked, lock/unlock the active plate, ask about one plate or about the plate a model stands on.</t>
  </si>
  <si>
    <t xml:space="preserve">useSceneCollectionManager.ts:8117-8118, 8138-8141 (defined 1497-1545)</t>
  </si>
  <si>
    <t xml:space="preserve">Reads: plates, activePlateIdRef, lockedPlateIds(+Ref), plateFramesRef
Writes: plates (name), lockedPlateIds</t>
  </si>
  <si>
    <t xml:space="preserve">Mostly React — setters; isModelPlateLocked reuses plateLayout.resolveModelPlateId.</t>
  </si>
  <si>
    <t xml:space="preserve">None — locks are session-only (not saved); name survives CLI save.</t>
  </si>
  <si>
    <t xml:space="preserve">None (name and locks are not history)</t>
  </si>
  <si>
    <t xml:space="preserve">plateName: page.tsx, SceneCanvas, SlicingPanel, ExportPanel, useSceneAutosave; setPlateName: page.tsx; plateLocked: page.tsx, SceneCanvas, SceneEnvironment; isPlateLocked: useArrangeManager.ts; isModelPlateLocked: page.tsx, SceneCanvas</t>
  </si>
  <si>
    <t xml:space="preserve">Definitions are outside this range (another row group owns them); listed so the return-object coverage is complete. setPlateName duplicates renamePlate with an implicit target.</t>
  </si>
  <si>
    <t xml:space="preserve">n/a (UI plumbing); use renamePlate({ plates, plateId, name })</t>
  </si>
  <si>
    <t xml:space="preserve">Lock bed 2, drag a model from bed 1 onto bed 2: refused, onBlockedByLock(bed2).</t>
  </si>
  <si>
    <t xml:space="preserve">onBlockedByLock option from page.tsx shows a timed notice.</t>
  </si>
  <si>
    <t xml:space="preserve">Yes — setPlateName and setPlateLocked act on the active plate</t>
  </si>
  <si>
    <t xml:space="preserve">plate-state-passthrough</t>
  </si>
  <si>
    <t xml:space="preserve">plates, activePlateId, plateViewRunId, plateOrdering (returned state)</t>
  </si>
  <si>
    <t xml:space="preserve">Plate document state (plates list, active plate id), a counter that tells the canvas to slide the camera to the active plate, and the layout grid setting (from the multi-plate settings store).</t>
  </si>
  <si>
    <t xml:space="preserve">useSceneCollectionManager.ts:8119-8131 (state declared 1480-1490, 1883-1888)</t>
  </si>
  <si>
    <t xml:space="preserve">Reads: React state; multiPlateSettings via useSyncExternalStore
Writes: None (read-only exposure)</t>
  </si>
  <si>
    <t xml:space="preserve">Mostly React — passthrough state.</t>
  </si>
  <si>
    <t xml:space="preserve">plateOrderingFor (components/settings/multiPlatePreferences.ts)</t>
  </si>
  <si>
    <t xml:space="preserve">Partial — VOXL scene.plates/activePlateId and the plateOrdering extension are read and preserved by the CLI save; no command edits them.</t>
  </si>
  <si>
    <t xml:space="preserve">plates/activePlateId captured in snapshots when the step includes plates; plateViewRunId and plateOrdering never.</t>
  </si>
  <si>
    <t xml:space="preserve">activePlateId: page.tsx (24), useArrangeManager.ts (20), SceneCanvas.tsx (10), ExportPanel.tsx, ModelManagerPanel.tsx, useSceneAutosave.ts; plateViewRunId: page.tsx -&gt; SceneCanvas.tsx; plateOrdering: page.tsx, SceneCanvas.tsx, useSceneAutosave.ts</t>
  </si>
  <si>
    <t xml:space="preserve">plateOrdering lives in a global settings store but is saved per-file as a VOXL extension — split ownership (setting vs document).</t>
  </si>
  <si>
    <t xml:space="preserve">Autosave round trip: plates, activePlateId, plateOrdering extension survive save/load and CLI save.</t>
  </si>
  <si>
    <t xml:space="preserve">useSceneAutosave persists plateOrdering + plates; ExportManager writes the plateOrdering extension.</t>
  </si>
  <si>
    <t xml:space="preserve">set-model-visibility</t>
  </si>
  <si>
    <t xml:space="preserve">setModelVisibility</t>
  </si>
  <si>
    <t xml:space="preserve">Shows/hides one model; no-op if unchanged; one undo step. Hidden models are skipped by the viewer and by slicing/export paths.</t>
  </si>
  <si>
    <t xml:space="preserve">Model fields (quick wins)</t>
  </si>
  <si>
    <t xml:space="preserve">useSceneCollectionManager.ts:4082-4094</t>
  </si>
  <si>
    <t xml:space="preserve">Reads: modelsRef, activeModelIdRef, selectedModelIdsRef
Writes: models (visible), history</t>
  </si>
  <si>
    <t xml:space="preserve">Mostly pure — a one-field map; snapshot/history is plumbing.</t>
  </si>
  <si>
    <t xml:space="preserve">captureSceneSnapshot, showModelLabel/hideModelLabel</t>
  </si>
  <si>
    <t xml:space="preserve">None — VOXL has `visible` and CLI slice/arrange/export filter on it, but no command sets it (only add-model writes true).</t>
  </si>
  <si>
    <t xml:space="preserve">Snapshot pair (no support state), label show/hide &lt;name&gt;</t>
  </si>
  <si>
    <t xml:space="preserve">src/components/organisms/panels/ModelsPanel.tsx:82 (onVisibilityChange); dom tests sceneEditHistory, slicedPlates</t>
  </si>
  <si>
    <t xml:space="preserve">No blocker. No plate-lock check (lock blocks selection, not visibility) — confirm intended.</t>
  </si>
  <si>
    <t xml:space="preserve">setModelsVisibility({ models: {id, visible}[], ids: string[], visible: boolean }): { changedIds: string[] }</t>
  </si>
  <si>
    <t xml:space="preserve">Hide then undo restores visible; same value -&gt; no history; CLI parity: a `scene set-visibility` must change only `visible` and keep plates/meta.</t>
  </si>
  <si>
    <t xml:space="preserve">No (explicit id)</t>
  </si>
  <si>
    <t xml:space="preserve">C</t>
  </si>
  <si>
    <t xml:space="preserve">rename-model</t>
  </si>
  <si>
    <t xml:space="preserve">renameModel</t>
  </si>
  <si>
    <t xml:space="preserve">Renames one model; no-op if unchanged; one undo step. No trimming/empty-name validation.</t>
  </si>
  <si>
    <t xml:space="preserve">useSceneCollectionManager.ts:4166-4178</t>
  </si>
  <si>
    <t xml:space="preserve">Reads: modelsRef, activeModelIdRef, selectedModelIdsRef
Writes: models (name), history</t>
  </si>
  <si>
    <t xml:space="preserve">Mostly pure — one-field map; snapshot/history plumbing.</t>
  </si>
  <si>
    <t xml:space="preserve">captureSceneSnapshot, renameLabel</t>
  </si>
  <si>
    <t xml:space="preserve">None — no rename command (add-model takes --name only at creation).</t>
  </si>
  <si>
    <t xml:space="preserve">Snapshot pair (no support state), label renameLabel(oldName)</t>
  </si>
  <si>
    <t xml:space="preserve">src/app/page.tsx:5678 (handleRenameModel); dom tests sceneEditHistory, mirrorHistory</t>
  </si>
  <si>
    <t xml:space="preserve">None.</t>
  </si>
  <si>
    <t xml:space="preserve">renameModel({ models: {id, name}[], id, name }): { changed: boolean, previousName?: string }</t>
  </si>
  <si>
    <t xml:space="preserve">Rename then undo; same name -&gt; no history; empty string currently accepted (pin).</t>
  </si>
  <si>
    <t xml:space="preserve">set-mesh-color</t>
  </si>
  <si>
    <t xml:space="preserve">setMeshColor</t>
  </si>
  <si>
    <t xml:space="preserve">Sets the preferred mesh colour (persisted in appearance settings) and, if there is an active model with a different colour, recolours that model (including repainting its vertex colours) as one undo step.</t>
  </si>
  <si>
    <t xml:space="preserve">useSceneCollectionManager.ts:7088-7104</t>
  </si>
  <si>
    <t xml:space="preserve">Reads: modelsRef, activeModelId (state, in closure), activeModelIdRef, selectedModelIdsRef
Writes: preferredMeshColor (-&gt; localStorage appearance effect), models[active].color, geometry 'color' attribute (paintModelBaseColor mutates THREE geometry in place), history</t>
  </si>
  <si>
    <t xml:space="preserve">Mixed — rule is clampHexColor + map one model's color; paintModelBaseColor mutates shared THREE geometry; preference write is UI.</t>
  </si>
  <si>
    <t xml:space="preserve">clampHexColor (module fn 609), paintModelBaseColor (473) -&gt; clearPaintToBase</t>
  </si>
  <si>
    <t xml:space="preserve">None — no colour command; add-model hardcodes '#a3a3a3', duplicate copies colour.</t>
  </si>
  <si>
    <t xml:space="preserve">pushSceneSnapshotHistory(before, after, colorModelLabel(name)); applySceneSnapshot repaints vertex colours on undo because geometry is shared.</t>
  </si>
  <si>
    <t xml:space="preserve">src/app/page.tsx (onMeshColorChange prop ~10411); test: sceneEditHistory.dom-test.tsx</t>
  </si>
  <si>
    <t xml:space="preserve">Couples a viewer preference with a model edit. Uses activeModelId from state but other refs from refs (mixed staleness). Vertex-colour repaint is a THREE side effect that must stay in the app.</t>
  </si>
  <si>
    <t xml:space="preserve">setModelColor({ models: Array&lt;{id,color}&gt;, modelIds: string[], color: string, fallback: string }): { changes: Array&lt;{ id, before, after }&gt; }</t>
  </si>
  <si>
    <t xml:space="preserve">Invalid hex -&gt; DEFAULT_MESH_COLOR; same colour -&gt; no history; active model with vertex colours -&gt; geometry repainted and undo restores; no active model -&gt; only preference changes.</t>
  </si>
  <si>
    <t xml:space="preserve">preferredMeshColor feeds the mesh appearance localStorage effect (~1953) and the shader registry.</t>
  </si>
  <si>
    <t xml:space="preserve">Yes: activeModelId</t>
  </si>
  <si>
    <t xml:space="preserve">E</t>
  </si>
  <si>
    <t xml:space="preserve">set-mesh-visible</t>
  </si>
  <si>
    <t xml:space="preserve">setMeshVisible</t>
  </si>
  <si>
    <t xml:space="preserve">Shows or hides the active model (delegates to setModelVisibility with an undo step).</t>
  </si>
  <si>
    <t xml:space="preserve">useSceneCollectionManager.ts:7106-7110</t>
  </si>
  <si>
    <t xml:space="preserve">Reads: activeModelId
Writes: via setModelVisibility: models[].visible, history</t>
  </si>
  <si>
    <t xml:space="preserve">Mostly React — a context-to-explicit-id adapter.</t>
  </si>
  <si>
    <t xml:space="preserve">setModelVisibility (4082)</t>
  </si>
  <si>
    <t xml:space="preserve">None — no visibility command (visible is read by slice/arrange).</t>
  </si>
  <si>
    <t xml:space="preserve">Via setModelVisibility: pushSceneSnapshotHistory showModelLabel/hideModelLabel</t>
  </si>
  <si>
    <t xml:space="preserve">No callers found outside the hook (grep for setMeshVisible in src/ returns only the hook) — likely dead</t>
  </si>
  <si>
    <t xml:space="preserve">Med — — verify no dynamic access via scene[...]</t>
  </si>
  <si>
    <t xml:space="preserve">Dead compat wrapper; real rule lives in setModelVisibility (other range).</t>
  </si>
  <si>
    <t xml:space="preserve">n/a (UI plumbing; use setModelsVisible({ modelIds, visible }))</t>
  </si>
  <si>
    <t xml:space="preserve">Covered by setModelVisibility tests.</t>
  </si>
  <si>
    <t xml:space="preserve">toggle-support-designation</t>
  </si>
  <si>
    <t xml:space="preserve">toggleSupportDesignation</t>
  </si>
  <si>
    <t xml:space="preserve">Marks the given models as support geometry or as normal models (isSupportGeometry flag), as one undo step; no-op if nothing changes.</t>
  </si>
  <si>
    <t xml:space="preserve">useSceneCollectionManager.ts:7112-7135</t>
  </si>
  <si>
    <t xml:space="preserve">Reads: models (render state), activeModelId, selectedModelIds
Writes: models[].isSupportGeometry, history</t>
  </si>
  <si>
    <t xml:space="preserve">Mostly pure — the map is pure; reads render-state `models` not modelsRef (stale-closure risk vs. sibling functions using refs).</t>
  </si>
  <si>
    <t xml:space="preserve">None — no command; field round-trips in VOXL and is used by `scene slice` to split model/support triangles.</t>
  </si>
  <si>
    <t xml:space="preserve">pushSceneSnapshotHistory(before, after, MARK_AS_SUPPORT_LABEL | MARK_AS_MODEL_LABEL)</t>
  </si>
  <si>
    <t xml:space="preserve">src/app/page.tsx x2 (context menu mark-support / mark-model ~6369, ~6378); test voxlSupportDesignation.test.ts re-implements the rule inline (not a parity test)</t>
  </si>
  <si>
    <t xml:space="preserve">Easy. Changes slicing output (support-classified models are sliced as support range), so needs a check:scene-slice case.</t>
  </si>
  <si>
    <t xml:space="preserve">setSupportDesignation({ models: Array&lt;{ id, isSupportGeometry? }&gt;, modelIds: string[], isSupport: boolean }): { changedIds: string[] }</t>
  </si>
  <si>
    <t xml:space="preserve">Already-matching ids -&gt; no history; mixed ids -&gt; only differing ones change but all targets set; unknown ids ignored; empty -&gt; no-op. Replace the inline test copy with the extracted function.</t>
  </si>
  <si>
    <t xml:space="preserve">No — explicit modelIds</t>
  </si>
  <si>
    <t xml:space="preserve">link-models</t>
  </si>
  <si>
    <t xml:space="preserve">linkModels</t>
  </si>
  <si>
    <t xml:space="preserve">Links 2+ models together under a new linkGroupId (linked models follow each other's transforms elsewhere), one undo step. Overwrites any previous link group of those models.</t>
  </si>
  <si>
    <t xml:space="preserve">useSceneCollectionManager.ts:7137-7161</t>
  </si>
  <si>
    <t xml:space="preserve">Reads: modelsRef, activeModelIdRef, selectedModelIdsRef
Writes: models[].linkGroupId, history</t>
  </si>
  <si>
    <t xml:space="preserve">Mostly pure — uuid + map; refs for snapshot only.</t>
  </si>
  <si>
    <t xml:space="preserve">None — no link command (linkGroupId round-trips in VOXL).</t>
  </si>
  <si>
    <t xml:space="preserve">pushSceneSnapshotHistory(before, after, linkModelsLabel(n))</t>
  </si>
  <si>
    <t xml:space="preserve">src/app/page.tsx (context menu 'link-models' ~6387); test linkGroupTransformPropagation.test.ts (propagation, not this fn)</t>
  </si>
  <si>
    <t xml:space="preserve">Relinking leaves the remainder of the old group; a group of 1 may survive (unlinkModels prunes that, linkModels does not). Id generation must be injected for parity.</t>
  </si>
  <si>
    <t xml:space="preserve">linkModels({ models: Array&lt;{ id, linkGroupId? }&gt;, modelIds: string[], newLinkGroupId: string }): { patches: Array&lt;{ id, linkGroupId }&gt; }</t>
  </si>
  <si>
    <t xml:space="preserve">&lt;2 ids -&gt; no-op; [a,b] from groups {a,c} -&gt; a,b in new group, c left alone in old group as singleton (pin current behaviour); unknown ids ignored but count needs &gt;=2 found.</t>
  </si>
  <si>
    <t xml:space="preserve">Link propagation of transforms lives elsewhere (transform paths reading linkGroupId).</t>
  </si>
  <si>
    <t xml:space="preserve">No — explicit ids</t>
  </si>
  <si>
    <t xml:space="preserve">linking</t>
  </si>
  <si>
    <t xml:space="preserve">unlink-models</t>
  </si>
  <si>
    <t xml:space="preserve">unlinkModels</t>
  </si>
  <si>
    <t xml:space="preserve">Removes the given models from their link groups, then dissolves any affected group left with fewer than 2 members; one undo step.</t>
  </si>
  <si>
    <t xml:space="preserve">useSceneCollectionManager.ts:7163-7199</t>
  </si>
  <si>
    <t xml:space="preserve">Mostly pure — pure map/filter; refs only for snapshot.</t>
  </si>
  <si>
    <t xml:space="preserve">pushSceneSnapshotHistory(before, after, unlinkModelsLabel(n))</t>
  </si>
  <si>
    <t xml:space="preserve">src/app/page.tsx (context menu 'unlink-models' ~6396)</t>
  </si>
  <si>
    <t xml:space="preserve">None significant.</t>
  </si>
  <si>
    <t xml:space="preserve">unlinkModels({ models: Array&lt;{ id, linkGroupId? }&gt;, modelIds: string[] }): { patches: Array&lt;{ id, linkGroupId: undefined }&gt; }</t>
  </si>
  <si>
    <t xml:space="preserve">Group {a,b,c} unlink a -&gt; b,c stay; unlink a,b -&gt; c also cleared; ids without link -&gt; no-op, no history.</t>
  </si>
  <si>
    <t xml:space="preserve">group-models</t>
  </si>
  <si>
    <t xml:space="preserve">groupModels</t>
  </si>
  <si>
    <t xml:space="preserve">Puts the given models in one folder-style group (groupId + groupName on each model). Reuses a common existing groupId if all targets already share one; name defaults to first existing groupName or first model's name. Adds the targets to the selection and makes the first active if none. Returns the groupId.</t>
  </si>
  <si>
    <t xml:space="preserve">Grouping</t>
  </si>
  <si>
    <t xml:space="preserve">useSceneCollectionManager.ts:4180-4203</t>
  </si>
  <si>
    <t xml:space="preserve">Reads: modelsRef, activeModelIdRef, selectedModelIdsRef
Writes: models (groupId/groupName), activeModelId, selectedModelIds; scene history</t>
  </si>
  <si>
    <t xml:space="preserve">Mostly pure — all logic is in applyModelGrouping; the hook only reads refs, mints `group-${uuid}`, sets 3 states and pushes a snapshot.</t>
  </si>
  <si>
    <t xml:space="preserve">modelGroupingHistory.ts applyModelGrouping</t>
  </si>
  <si>
    <t xml:space="preserve">Partial — `scene group --ids --name` writes a separate record into doc.extensions.groups ({id,name,modelIds}) instead of model.groupId/groupName; defaults name to 'Group'; no reuse of existing group, no validation that ids exist. The app never reads extensions.groups and never saves groupId/groupName at all (VoxlModelEntry has no such fields), so the two models of 'a group' are disjoint.</t>
  </si>
  <si>
    <t xml:space="preserve">pushSceneSnapshotHistory, full scene snapshot (no supports), label groupModelLabel/groupModelsLabel from the helper</t>
  </si>
  <si>
    <t xml:space="preserve">src/app/page.tsx (handleGroupSelectedModels -&gt; ModelsPanel/ModelManagerPanel onGroupModels); sceneEditHistory.dom-test.tsx</t>
  </si>
  <si>
    <t xml:space="preserve">Rule already pure. Blocker is the data model: grouping is not persisted in VOXL by the app, and the CLI's persisted form differs. Decide one representation before parity is possible. Selection side-effect should become optional output, not part of the rule.</t>
  </si>
  <si>
    <t xml:space="preserve">applyModelGrouping({ models: GroupableModel[], modelIds, groupId, groupName?, activeModelId, selectedModelIds }) =&gt; GroupingTransition (exists; CLI should call it with selection from doc.scene)</t>
  </si>
  <si>
    <t xml:space="preserve">Pin (exists in modelGroupingHistory.test.ts, extend): 2 ungrouped ids -&gt; new groupId, name = first model name; ids all in group G -&gt; reuses G; blank/whitespace name falls back; unknown ids -&gt; changed=false; selection gains ids; activeModelId kept if set. Add VOXL round-trip test showing groupId/groupName are currently dropped on save.</t>
  </si>
  <si>
    <t xml:space="preserve">ModelManagerPanel context menu only; no hotkey found (no 'g' handler in page.tsx).</t>
  </si>
  <si>
    <t xml:space="preserve">No (explicit modelIds); but the result also mutates selection/active from context</t>
  </si>
  <si>
    <t xml:space="preserve">grouping</t>
  </si>
  <si>
    <t xml:space="preserve">D</t>
  </si>
  <si>
    <t xml:space="preserve">list-groups</t>
  </si>
  <si>
    <t xml:space="preserve">(none in hook; derived in ModelManagerPanel from model.groupId)</t>
  </si>
  <si>
    <t xml:space="preserve">There is no list-groups operation in the hook. The UI derives folders by bucketing models on groupId (ModelManagerPanel.tsx:144). CLI `scene list-groups` reads extensions.groups.</t>
  </si>
  <si>
    <t xml:space="preserve">useSceneCollectionManager.ts:4180-4241</t>
  </si>
  <si>
    <t xml:space="preserve">Reads: models[].groupId/groupName
Writes: none</t>
  </si>
  <si>
    <t xml:space="preserve">Mostly React — bucketing lives in a component.</t>
  </si>
  <si>
    <t xml:space="preserve">Partial — `scene list-groups` lists extensions.groups, which the app never writes, so on an app-saved scene it always reports 0 groups.</t>
  </si>
  <si>
    <t xml:space="preserve">src/components/controls/ModelManagerPanel.tsx</t>
  </si>
  <si>
    <t xml:space="preserve">Needs a pure listGroups(models) once groups are persisted on models.</t>
  </si>
  <si>
    <t xml:space="preserve">listModelGroups({ models: { id; groupId?; groupName? }[] }) =&gt; { groupId; name; modelIds: string[] }[]</t>
  </si>
  <si>
    <t xml:space="preserve">Models with mixed groupIds -&gt; ordered buckets; name from first non-empty groupName.</t>
  </si>
  <si>
    <t xml:space="preserve">ungroup-models</t>
  </si>
  <si>
    <t xml:space="preserve">ungroupModels</t>
  </si>
  <si>
    <t xml:space="preserve">Removes groupId/groupName from the given models (only those currently grouped). Leaves other members of the same group grouped.</t>
  </si>
  <si>
    <t xml:space="preserve">useSceneCollectionManager.ts:4205-4222</t>
  </si>
  <si>
    <t xml:space="preserve">Reads: modelsRef, activeModelIdRef, selectedModelIdsRef
Writes: models; scene history</t>
  </si>
  <si>
    <t xml:space="preserve">Mostly pure — logic in applyModelUngrouping; hook is ref reads + setModels + history.</t>
  </si>
  <si>
    <t xml:space="preserve">modelGroupingHistory.ts applyModelUngrouping</t>
  </si>
  <si>
    <t xml:space="preserve">None — CLI `scene ungroup` only takes --group-id (whole group); there is no per-model ungroup. And it edits extensions.groups, not model fields.</t>
  </si>
  <si>
    <t xml:space="preserve">pushSceneSnapshotHistory snapshot, label ungroupLabel/ungroupModelsLabel</t>
  </si>
  <si>
    <t xml:space="preserve">src/app/page.tsx handleUngroupSelectedModels -&gt; ModelManagerPanel onUngroupModels</t>
  </si>
  <si>
    <t xml:space="preserve">Already pure. A one-member group can be left behind (ungrouping 1 of 2 leaves a single-member group) — decide if that should dissolve, like link groups do on delete.</t>
  </si>
  <si>
    <t xml:space="preserve">applyModelUngrouping({ models, modelIds, activeModelId, selectedModelIds }) =&gt; GroupingTransition (exists)</t>
  </si>
  <si>
    <t xml:space="preserve">Ungroup 1 of a 3-member group -&gt; others keep groupId; ids with no groupId -&gt; changed=false; selection/active unchanged.</t>
  </si>
  <si>
    <t xml:space="preserve">ungroup-group</t>
  </si>
  <si>
    <t xml:space="preserve">ungroupGroup</t>
  </si>
  <si>
    <t xml:space="preserve">Dissolves a whole group by id: clears groupId/groupName on every member.</t>
  </si>
  <si>
    <t xml:space="preserve">useSceneCollectionManager.ts:4224-4241</t>
  </si>
  <si>
    <t xml:space="preserve">Mostly pure — applyModelGroupUngrouping does the work.</t>
  </si>
  <si>
    <t xml:space="preserve">modelGroupingHistory.ts applyModelGroupUngrouping</t>
  </si>
  <si>
    <t xml:space="preserve">Partial — `scene ungroup --group-id` filters extensions.groups; same semantics on a different storage; silently succeeds on unknown id.</t>
  </si>
  <si>
    <t xml:space="preserve">pushSceneSnapshotHistory snapshot, label ungroupLabel(groupName) or ungroupModelsLabel(n)</t>
  </si>
  <si>
    <t xml:space="preserve">src/app/page.tsx handleUngroupFolder -&gt; ModelManagerPanel onUngroupGroup</t>
  </si>
  <si>
    <t xml:space="preserve">Already pure; storage mismatch with CLI is the only blocker.</t>
  </si>
  <si>
    <t xml:space="preserve">applyModelGroupUngrouping({ models, groupId, activeModelId, selectedModelIds }) =&gt; GroupingTransition (exists)</t>
  </si>
  <si>
    <t xml:space="preserve">Group of 3 -&gt; all cleared; unknown groupId -&gt; changed=false; label uses trimmed group name.</t>
  </si>
  <si>
    <t xml:space="preserve">rename-group</t>
  </si>
  <si>
    <t xml:space="preserve">renameGroup</t>
  </si>
  <si>
    <t xml:space="preserve">Sets groupName (trimmed) on every member of a group. No-op for blank names, unknown groups, or when all members already have that name.</t>
  </si>
  <si>
    <t xml:space="preserve">useSceneCollectionManager.ts:4712-4729</t>
  </si>
  <si>
    <t xml:space="preserve">Mostly pure — the map/guard (4713-4723) is a pure rule written inline; rest is snapshot plumbing.</t>
  </si>
  <si>
    <t xml:space="preserve">None (not in modelGroupingHistory.ts, though it belongs there)</t>
  </si>
  <si>
    <t xml:space="preserve">None — no rename-group command; CLI groups have a name only at creation.</t>
  </si>
  <si>
    <t xml:space="preserve">pushSceneSnapshotHistory, label renameLabel(old group name)</t>
  </si>
  <si>
    <t xml:space="preserve">src/app/page.tsx handleRenameFolder; sceneEditHistory.dom-test.tsx</t>
  </si>
  <si>
    <t xml:space="preserve">Trivial to move into modelGroupingHistory.ts as applyGroupRename.</t>
  </si>
  <si>
    <t xml:space="preserve">applyGroupRename({ models: GroupableModel[], groupId, name }) =&gt; { models; changed; description? }</t>
  </si>
  <si>
    <t xml:space="preserve">'  New  ' trims; '' -&gt; unchanged; unknown id -&gt; unchanged; same name -&gt; unchanged (no history entry); label uses OLD name.</t>
  </si>
  <si>
    <t xml:space="preserve">chunk-store-bake</t>
  </si>
  <si>
    <t xml:space="preserve">exportManager, scheduleIdleTask, scheduleModelChunkBake, scheduleChunkStoreSweep, chunkStoreSweepPending</t>
  </si>
  <si>
    <t xml:space="preserve">Copy-on-write mesh chunk store upkeep: lazily loads ExportManager and, in idle time, bakes one model's encoded mesh chunk after a geometry change, or sweeps the whole scene (retain live ids, bake missing) coalesced to one run.</t>
  </si>
  <si>
    <t xml:space="preserve">Save input (export-save)</t>
  </si>
  <si>
    <t xml:space="preserve">useSceneCollectionManager.ts:1331-1398</t>
  </si>
  <si>
    <t xml:space="preserve">Reads: models list (via getter)
Writes: ExportManager chunk store (module)</t>
  </si>
  <si>
    <t xml:space="preserve">Mostly React — idle callbacks, dynamic import, module flag.</t>
  </si>
  <si>
    <t xml:space="preserve">ExportManager.bakeModelGeometryChunk / retainModelChunks</t>
  </si>
  <si>
    <t xml:space="preserve">None — CLI writes meshes directly.</t>
  </si>
  <si>
    <t xml:space="preserve">internal: scheduleModelChunkBake 3661; sweep via effect 1598; exportManager also 4757</t>
  </si>
  <si>
    <t xml:space="preserve">Timing/caching only; the save is authoritative via geometry signature.</t>
  </si>
  <si>
    <t xml:space="preserve">n/a (cache)</t>
  </si>
  <si>
    <t xml:space="preserve">Module-level chunkStoreSweepPending flag shared across hook instances.</t>
  </si>
  <si>
    <t xml:space="preserve">voxl-format-chunked-ref</t>
  </si>
  <si>
    <t xml:space="preserve">lastLoadedVoxlFormatChunkedRef</t>
  </si>
  <si>
    <t xml:space="preserve">Remembers whether the last loaded .voxl used the chunked 3.1 layout so autosave keeps an older file's format (defaults true).</t>
  </si>
  <si>
    <t xml:space="preserve">useSceneCollectionManager.ts:1584-1588</t>
  </si>
  <si>
    <t xml:space="preserve">Reads: set in handleImportVoxlFile 6343
Writes: ref</t>
  </si>
  <si>
    <t xml:space="preserve">Mostly React — ref used as a side channel between managers.</t>
  </si>
  <si>
    <t xml:space="preserve">Partial — CLI always writes serializeVoxlDocumentV2 regardless of source format.</t>
  </si>
  <si>
    <t xml:space="preserve">useImportExportManager.ts:174, 380</t>
  </si>
  <si>
    <t xml:space="preserve">Mutable ref returned from a hook to another hook: should be a field of the import result.</t>
  </si>
  <si>
    <t xml:space="preserve">n/a (should be returned by the import function: { sourceVersion })</t>
  </si>
  <si>
    <t xml:space="preserve">Load a 3.0 file then autosave -&gt; still 3.0; load 3.1 -&gt; 3.1; fresh scene -&gt; chunked.</t>
  </si>
  <si>
    <t xml:space="preserve">Import/export manager reads it 'right after a load' — timing-dependent.</t>
  </si>
  <si>
    <t xml:space="preserve">chunk-store-sweep-effect</t>
  </si>
  <si>
    <t xml:space="preserve">useEffect -&gt; scheduleChunkStoreSweep</t>
  </si>
  <si>
    <t xml:space="preserve">Whenever the models array changes and is non-empty, schedules a coalesced idle sweep of the mesh chunk store.</t>
  </si>
  <si>
    <t xml:space="preserve">useSceneCollectionManager.ts:1594-1601</t>
  </si>
  <si>
    <t xml:space="preserve">Reads: models
Writes: chunk store (via scheduleChunkStoreSweep)</t>
  </si>
  <si>
    <t xml:space="preserve">Mostly React — effect + idle timer.</t>
  </si>
  <si>
    <t xml:space="preserve">scheduleChunkStoreSweep</t>
  </si>
  <si>
    <t xml:space="preserve">Cache upkeep only.</t>
  </si>
  <si>
    <t xml:space="preserve">Empty scene never releases chunks (returns early when models.length === 0).</t>
  </si>
  <si>
    <t xml:space="preserve">save-export-voxl</t>
  </si>
  <si>
    <t xml:space="preserve">ExportManager.exportVoxl</t>
  </si>
  <si>
    <t xml:space="preserve">The app's VOXL writer front end: snapshots supports (scoped to the given models when any are given; emptied if includeSupports=false), builds one MODL entry per model (transform, resolved meshModifiers, plateId, classification when it addresses the stored soup, originalRef, sourcePath, nativePreview, geometryStale), mesh bytes from meshChunkStore (precompressed, with SHA so duplicates dedup), ORIG chunks, plates/activePlateId/printer/plateOrdering/thumbnail; streams atomically to disk or falls back to buffered download.</t>
  </si>
  <si>
    <t xml:space="preserve">ExportManager.ts:1120-1454</t>
  </si>
  <si>
    <t xml:space="preserve">Reads: ExportSceneContext (models, activeModelId, selectedModelIds, plates, activePlateId, printer, plateOrdering, thumbnail), support store getSnapshot, meshChunkStore (preview + original), meshModifier store
Writes: file on disk (atomic temp+rename) or browser download; fingerprint callback</t>
  </si>
  <si>
    <t xml:space="preserve">Mixed — MODL entry building (~100 lines) is pure over LoadedModel + chunk store; the rest is THREE geometry, chunk store awaits, Tauri streaming write.</t>
  </si>
  <si>
    <t xml:space="preserve">serializeVoxlDocumentV2(Streaming) (voxl/codec-v2 prepareVoxlDocumentV2), buildSupportExportFromStores, buildScopedSupportExportDocument, resolveModelMeshModifiers, reportAddressesTriangleSoup</t>
  </si>
  <si>
    <t xml:space="preserve">Partial — CLI saveVoxl → toBuildInput passes models verbatim (all MODL fields survive), plates, activePlateId, printer, extensions, generator; but no sha256Map (dedup lost, duplicates each get a MESH chunk) and no originalMeshBytes (ORIG chunks dropped while originalRef still says embedded-chunk).</t>
  </si>
  <si>
    <t xml:space="preserve">internal: ExportManager.exportScene (format 'voxl') ← page.tsx performTopBarSaveScene, ExportPanel.handleExport/exportGroupsToDirectory, useSceneAutosave.performAutosave</t>
  </si>
  <si>
    <t xml:space="preserve">Extract 'LoadedModel + chunk info -&gt; VoxlModelRuntimeLike' and 'scene context -&gt; BuildVoxlDocumentInput' as pure fns so app and CLI build the same writer input; the CLI then needs a VoxlModelEntry passthrough variant that keeps ORIG bytes and SHAs.</t>
  </si>
  <si>
    <t xml:space="preserve">buildVoxlSaveInput({ models: Array&lt;VoxlModelRuntimeLike&gt;, scene: { activeModelId, selectedModelIds, plates?, activePlateId?, plateOrdering? }, printer?, supports, thumbnailPng? }): BuildVoxlDocumentInput</t>
  </si>
  <si>
    <t xml:space="preserve">Round trip: app-shaped input with 2 plates, printer, plateOrdering 'grid', a dedup duplicate, an ORIG chunk and a hollowed model -&gt; serialize -&gt; parse -&gt; toBuildInput -&gt; serialize -&gt; parse: every MODL field, plates, activePlateId, meta.printer, extensions, chunk counts (MESH, ORIG, HSRC/CAVT) equal.</t>
  </si>
  <si>
    <t xml:space="preserve">meshChunkStore is fed by geometry mutations elsewhere (bakeModelGeometryChunk) and by VOXL load ('original' slot) — save correctness depends on bakes having run.</t>
  </si>
  <si>
    <t xml:space="preserve">No — everything comes in through sceneContext; but WHICH fields arrive depends on the caller (see save-* rows).</t>
  </si>
  <si>
    <t xml:space="preserve">save-export-scene-dispatch</t>
  </si>
  <si>
    <t xml:space="preserve">ExportManager.exportScene</t>
  </si>
  <si>
    <t xml:space="preserve">Entry for every save/export: picks the native save path first (or uses the given one; web falls back to download), routes 'voxl' to exportVoxl, else collects model group + supports (scoped by model ids) + per-model raft meshes and writes binary STL or 3MF.</t>
  </si>
  <si>
    <t xml:space="preserve">ExportManager.ts:893-1082</t>
  </si>
  <si>
    <t xml:space="preserve">Reads: THREE model/support objects, support store, raft settings (global and per model), sceneContext.models
Writes: file / download</t>
  </si>
  <si>
    <t xml:space="preserve">Mostly React — native dialogs and THREE scene graph serialisation; raft footprint building is the only rule.</t>
  </si>
  <si>
    <t xml:space="preserve">pickSavePathWithNativeDialog, buildScopedSupportGeometryGroup, buildRaftFootprintMeshes, collectModelPlateFootprint, buildBinaryStl, export3mf</t>
  </si>
  <si>
    <t xml:space="preserve">Partial — `scene export-stl` merges VISIBLE models of ALL plates from external STL files in --mesh-dir (ignores embedded mesh bytes, so an app-saved scene needs the original STLs on disk), recentres each mesh on its bbox, no supports, no raft, no plate scoping; app STL export is per active model/plate/all, includes supports and optional raft.</t>
  </si>
  <si>
    <t xml:space="preserve">page.tsx:4586, ExportPanel.tsx:372 and 452, useSceneAutosave.ts:580</t>
  </si>
  <si>
    <t xml:space="preserve">L</t>
  </si>
  <si>
    <t xml:space="preserve">The CLI export-stl and the app disagree on mesh source and on scope; a shared 'which models + which transform matrix' rule (plate scope from plateLayout) would make them comparable. Supports/raft geometry need THREE.</t>
  </si>
  <si>
    <t xml:space="preserve">selectExportModels({ models: Array&lt;{ id, visible, plateId?, transform }&gt;, scope: 'active_model'|'current_plate'|'all', activeModelId?, plate?: PlateFrame, frames }): string[]</t>
  </si>
  <si>
    <t xml:space="preserve">Two-plate scene, cube per plate: app 'current plate' STL vs CLI export-stl -&gt; today CLI writes 24 tris, app 12 (pin); with embedded-only meshes CLI export-stl fails without --mesh-dir STLs (pin).</t>
  </si>
  <si>
    <t xml:space="preserve">Raft settings read from global store per model; STL export bakes scene transforms via live THREE objects</t>
  </si>
  <si>
    <t xml:space="preserve">save-export-panel</t>
  </si>
  <si>
    <t xml:space="preserve">ExportPanel.handleExport / exportGroupsToDirectory (VOXL format)</t>
  </si>
  <si>
    <t xml:space="preserve">Export panel VOXL bundle: writes the scoped models (active model / current plate / all) with selection filtered to scope and plates from plateGroups + activePlateId, but no printer bundle and no plateOrdering; 'per plate' and 'separate' write one VOXL per group with no plates, no printer, no ordering, no thumbnail.</t>
  </si>
  <si>
    <t xml:space="preserve">ExportPanel.tsx:335-490 (VOXL context at 380-395 and 458-463)</t>
  </si>
  <si>
    <t xml:space="preserve">Reads: models, scope, plateGroups, activePlateId, selectedModelIds, thumbnail capture
Writes: files</t>
  </si>
  <si>
    <t xml:space="preserve">Mostly React — scope filtering and context building are small pure pieces.</t>
  </si>
  <si>
    <t xml:space="preserve">ExportManager.exportScene, resolvePlateOutputBaseName</t>
  </si>
  <si>
    <t xml:space="preserve">None — no CLI export of a sub-scene to VOXL.</t>
  </si>
  <si>
    <t xml:space="preserve">ExportPanel buttons (749-752); ExportPanelStack.tsx:125 supplies plateGroups</t>
  </si>
  <si>
    <t xml:space="preserve">Med — — confirm per-plate VOXL reopen behaviour</t>
  </si>
  <si>
    <t xml:space="preserve">Per-plate VOXL files keep world positions of plate N (not shifted to plate 1) and carry no plate list, so reopening puts plate-N models off every bed and triggers the placement prompt.</t>
  </si>
  <si>
    <t xml:space="preserve">buildPlateExportScenes({ models, plates: PlateFrame[], ordering }): Array&lt;{ plateId, models: shifted-to-origin transforms }&gt;</t>
  </si>
  <si>
    <t xml:space="preserve">Per-plate VOXL of plate 2 reopened in an empty one-plate scene -&gt; today the model is off-bed (pin); bundle VOXL lacks meta.printer (pin).</t>
  </si>
  <si>
    <t xml:space="preserve">Scope from panel state (active model / active plate)</t>
  </si>
  <si>
    <t xml:space="preserve">save-cli-tobuildinput</t>
  </si>
  <si>
    <t xml:space="preserve">CLI toBuildInput / saveVoxl (scripts/dragonfruit-ts-cli.ts)</t>
  </si>
  <si>
    <t xml:space="preserve">CLI save: re-serialises the in-memory VoxlDocumentV1 with models verbatim, scene cursor, plates, activePlateId, supports, extensions and meta generator/version/printer, plus mesh bytes by model index from the last load.</t>
  </si>
  <si>
    <t xml:space="preserve">dragonfruit-ts-cli.ts:85-114</t>
  </si>
  <si>
    <t xml:space="preserve">Reads: LOADED_MESH_BYTES (module global), doc
Writes: file (non-atomic writeFileSync)</t>
  </si>
  <si>
    <t xml:space="preserve">Mostly pure — apart from the module global and the sync write.</t>
  </si>
  <si>
    <t xml:space="preserve">serializeVoxlDocumentV2</t>
  </si>
  <si>
    <t xml:space="preserve">Full — this IS the CLI save; gaps vs app: no sha256Map (dedup lost), LOADED_ORIG_BYTES never passed (ORIG chunks dropped, originalRef left pointing at embedded-chunk), meta.createdAt reset (also in app), non-atomic write.</t>
  </si>
  <si>
    <t xml:space="preserve">every mutating CLI command (create, add-model, remove-model, transform-model, duplicate, arrange, group, ungroup, center-xy, place-on-platform, support *)</t>
  </si>
  <si>
    <t xml:space="preserve">Med — — ORIG loss and dedup loss are read from code; run the round-trip test to confirm</t>
  </si>
  <si>
    <t xml:space="preserve">Pass originalMeshBytes (index-keyed) and a sha map built from parse (mesh.sha256 or hash of bytes) into serialize options; then a round-trip parity test against an app-written file.</t>
  </si>
  <si>
    <t xml:space="preserve">voxlDocumentToBuildInput({ document: VoxlDocumentV1, meshBytes: Map&lt;string,Uint8Array&gt;, originalMeshBytes?: Map&lt;string,Uint8Array&gt; }): { input: BuildVoxlDocumentInput, meshBytes: Map&lt;number,Uint8Array&gt;, options: { sha256Map, originalMeshBytes } }</t>
  </si>
  <si>
    <t xml:space="preserve">App-shaped file with ORIG chunk and 3 dedup copies -&gt; CLI transform-model (no-op) -&gt; parse: ORIG count 1 and MESH count 1 expected; today likely ORIG 0 and MESH 3.</t>
  </si>
  <si>
    <t xml:space="preserve">Module-global LOADED_MESH_BYTES / LOADED_ORIG_BYTES from the last loadVoxl</t>
  </si>
  <si>
    <t xml:space="preserve">save-topbar-ctrl-s</t>
  </si>
  <si>
    <t xml:space="preserve">performTopBarSaveScene (page.tsx)</t>
  </si>
  <si>
    <t xml:space="preserve">Ctrl+S / Save As: captures a thumbnail with cross-section clipping off, then saves VOXL with the scene's plates, activePlateId, plateName, printer bundle and plateOrdering — but only the VISIBLE models when any model is visible (and, through scoping, only their supports). Updates the active scene path, deletes the old autosave sidecar on Save As, shows a toast.</t>
  </si>
  <si>
    <t xml:space="preserve">page.tsx:4557-4654</t>
  </si>
  <si>
    <t xml:space="preserve">Reads: scene.models, activeModelId, selectedModelIds, plates, activePlateId, plateName, voxlPrinterBundle, plateOrdering, activeSceneFilePath, thumbnail runner ref
Writes: file, activeSceneFilePath, loadedSceneSaveSource, preferredOverwriteScenePathRef, autosave sidecar (delete), toast</t>
  </si>
  <si>
    <t xml:space="preserve">Mostly React — the only rule is the model scope (visible-else-all), which belongs in a pure save-input builder.</t>
  </si>
  <si>
    <t xml:space="preserve">Partial — CLI save keeps all models incl. hidden; app Ctrl+S drops hidden models and their supports from the file, while autosave keeps them (so recovery and the saved file differ).</t>
  </si>
  <si>
    <t xml:space="preserve">page.tsx:4739, 4762 (queued saves), 4869 (save choice flow); Ctrl+S hotkey + top-bar Save</t>
  </si>
  <si>
    <t xml:space="preserve">Med — — confirm hidden-model drop on Ctrl+S in the running app and whether it is intended</t>
  </si>
  <si>
    <t xml:space="preserve">useCallback deps list (4654) omits scene.plates, activePlateId, plateName, voxlPrinterBundle, plateOrdering — a stale closure could write old plates/printer (React Compiler is on, which may or may not re-memoize).</t>
  </si>
  <si>
    <t xml:space="preserve">sceneSaveContext({ models, includeHidden: boolean, scene: { activeModelId, selectedModelIds, plates, activePlateId, plateOrdering }, printer? }): ExportSceneContext-like plain data</t>
  </si>
  <si>
    <t xml:space="preserve">Scene with one hidden model + its supports: Ctrl+S file lacks it (pin current), autosave file has it; rename plate then Ctrl+S without touching models: saved plate name is the new one.</t>
  </si>
  <si>
    <t xml:space="preserve">Hotkey registration for Ctrl+S (docs/dev/hotkeys.md) and the scene-save-choice modal route here.</t>
  </si>
  <si>
    <t xml:space="preserve">Model set = visible models (hidden ones dropped); everything else from current scene state</t>
  </si>
  <si>
    <t xml:space="preserve">save-autosave</t>
  </si>
  <si>
    <t xml:space="preserve">useSceneAutosave.performAutosave</t>
  </si>
  <si>
    <t xml:space="preserve">Periodic/dirty-triggered save of ALL models to the autosave path (beside the project), with plates, activePlateId, plateOrdering, plateName, printer; preserves pre-3.1 inline layout unless it fails (then upgrades and latches), reuses unchanged chunks and skips the write when the fingerprint matches; writes the recovery manifest after commit.</t>
  </si>
  <si>
    <t xml:space="preserve">useSceneAutosave.ts:501-712</t>
  </si>
  <si>
    <t xml:space="preserve">Reads: modelsRef, activeModelIdRef, selectedModelIdsRef, platesRef, activePlateIdRef, plateOrderingRef, plateNameRef, printerRef, sceneFormatChunkedRef, chunk cache
Writes: autosave .voxl, manifest, lastWriteFingerprintRef, isAutosaving</t>
  </si>
  <si>
    <t xml:space="preserve">Mostly React — timers, refs, native writes; no scene rule.</t>
  </si>
  <si>
    <t xml:space="preserve">ExportManager.exportScene, VoxlChunkCache</t>
  </si>
  <si>
    <t xml:space="preserve">None (not applicable)</t>
  </si>
  <si>
    <t xml:space="preserve">internal effects in useSceneAutosave (debounce/cap timers); page.tsx wires refs</t>
  </si>
  <si>
    <t xml:space="preserve">Stays UI. It is the reference for 'a save keeps every field' — compare Ctrl+S against it.</t>
  </si>
  <si>
    <t xml:space="preserve">Hidden model present -&gt; autosave file contains it; same scene twice -&gt; second write skipped by fingerprint.</t>
  </si>
  <si>
    <t xml:space="preserve">Whole scene from refs</t>
  </si>
  <si>
    <t xml:space="preserve">delete-models</t>
  </si>
  <si>
    <t xml:space="preserve">deleteModels</t>
  </si>
  <si>
    <t xml:space="preserve">Deletes models by id with everything attached: releases mesh chunks, revokes blob URLs, dissolves link groups left with &lt;2 peers, clears them from active/selection, drops extra plates if the scene becomes empty, deletes stored mesh modifiers, cascades all support types owned by the models, and pushes one history entry (optional).</t>
  </si>
  <si>
    <t xml:space="preserve">Delete</t>
  </si>
  <si>
    <t xml:space="preserve">useSceneCollectionManager.ts:4744-4894</t>
  </si>
  <si>
    <t xml:space="preserve">Reads: modelsRef, activeModelIdRef, selectedModelIdsRef, platesRef, activePlateIdRef, support store getSnapshot
Writes: models, activeModelId, selectedModelIds, plates, activePlateId, plateViewRunId, support store (via deleteSupportsForModel-&gt;setSnapshot), meshModifierStore, meshChunkStore (async), object URLs; scene history</t>
  </si>
  <si>
    <t xml:space="preserve">Mixed — the list rules (filter, link-group dissolve, selection cleanup, empty-scene plate rule) are pure; support cascade is a store mutation; chunk release/URL revoke/modifier store are side effects; an awaited UI yield sits in the middle.</t>
  </si>
  <si>
    <t xml:space="preserve">SupportModelLinker.ts getSupportsForModel/deleteSupportsForModel; supportTypeRegistry MODEL_ID_COLLECTION_KEYS; ExportManager.releaseModelChunks; meshModifierStore.deleteStoredMeshModifiers</t>
  </si>
  <si>
    <t xml:space="preserve">Partial — `scene remove-model --id` (single id) filters models, cleans roots/trunks/branches/leaves/braces by modelId, clears active/selection. Misses: knots, twigs, sticks, stumps, kickstands (+ their roots/host knots), link-group dissolve, empty-scene plate collapse, mesh modifiers (in model entry, fine).</t>
  </si>
  <si>
    <t xml:space="preserve">pushSceneSnapshotHistory with plates+activePlateId, includeSupportState only if any target had supports; label deleteModelLabel/deleteModelsLabel. pushHistory:false used by plate removal (8004, 8062).</t>
  </si>
  <si>
    <t xml:space="preserve">src/app/page.tsx (7: delete registry handlers 9445, context menu via dispatchDeleteModelAction, clear scene 5070, 11699); modelActionTargets.ts; modelCut.ts; internal: deleteModel, deleteModelsAndExtraPlates, plate removal</t>
  </si>
  <si>
    <t xml:space="preserve">Med — — verify undo of a delete restores hollowing/hole-punch modifiers.</t>
  </si>
  <si>
    <t xml:space="preserve">Await between snapshot reads; support deletion goes through the global support store (setSnapshot emits interaction reset). Undo does NOT restore deleted meshModifiers (no modifierRecord in snapshot) or released chunks — check. shouldShowDeleteOverlayImmediately (4778) is computed and never used. Supports are cleaned only if includeSupportHistory was true at the first check.</t>
  </si>
  <si>
    <t xml:space="preserve">planModelDeletion({ models: { id; linkGroupId? }[], ids, activeModelId, selectedModelIds, plates: {id}[], activePlateId }) =&gt; { models; activeModelId; selectedModelIds; plates; activePlateId; dissolvedLinkGroupIds } + removeModelSupports({ supports: SupportCollections, modelIds }) =&gt; SupportCollections</t>
  </si>
  <si>
    <t xml:space="preserve">(1) delete one of a 2-member link group -&gt; survivor's linkGroupId cleared; of 3 -&gt; kept. (2) delete all models on 3 plates -&gt; plates=[plate1], activePlateId=plate1. (3) model with trunk+branch+knot+kickstand+twig+stick -&gt; all removed, other model's supports untouched; same scene via CLI remove-model must match (it currently will not). (4) active deleted -&gt; null; selection filtered. (5) undo restores supports and plates.</t>
  </si>
  <si>
    <t xml:space="preserve">registerDeleteHandler registry (page.tsx 9436/9458, priorities 30/20); useDeleteHotkey -&gt; triggerDelete; scheduleChunkStoreSweep effect as backstop.</t>
  </si>
  <si>
    <t xml:space="preserve">No (explicit ids); pushHistory option</t>
  </si>
  <si>
    <t xml:space="preserve">delete-models-link-dissolve</t>
  </si>
  <si>
    <t xml:space="preserve">deleteModels (link-group dissolve block)</t>
  </si>
  <si>
    <t xml:space="preserve">After removing models, any link group that now has fewer than 2 members has linkGroupId cleared on its survivor.</t>
  </si>
  <si>
    <t xml:space="preserve">useSceneCollectionManager.ts:4819-4834</t>
  </si>
  <si>
    <t xml:space="preserve">Reads: deleted models' linkGroupId, remaining models
Writes: nextModels (local)</t>
  </si>
  <si>
    <t xml:space="preserve">Mostly pure — plain array code.</t>
  </si>
  <si>
    <t xml:space="preserve">None — remove-model leaves a lone linkGroupId behind.</t>
  </si>
  <si>
    <t xml:space="preserve">Part of deleteModels snapshot</t>
  </si>
  <si>
    <t xml:space="preserve">internal: deleteModels</t>
  </si>
  <si>
    <t xml:space="preserve">Probably shared with unlinkModels/linking rules elsewhere in the manager; check for a duplicate rule there.</t>
  </si>
  <si>
    <t xml:space="preserve">dissolveUnderfilledLinkGroups({ models: { id; linkGroupId? }[], touchedLinkGroupIds: string[] }) =&gt; models</t>
  </si>
  <si>
    <t xml:space="preserve">Groups of size 1 cleared, size &gt;=2 kept, unrelated groups untouched.</t>
  </si>
  <si>
    <t xml:space="preserve">delete-models-empty-scene-plates</t>
  </si>
  <si>
    <t xml:space="preserve">deleteModels (emptying-the-scene plate rule)</t>
  </si>
  <si>
    <t xml:space="preserve">If the delete leaves zero models and there is more than one plate, keep only the first plate, make it active, and bump the plate view run id so the camera follows.</t>
  </si>
  <si>
    <t xml:space="preserve">useSceneCollectionManager.ts:4838-4853</t>
  </si>
  <si>
    <t xml:space="preserve">Reads: platesRef, activePlateIdRef
Writes: plates, activePlateId, plateViewRunId</t>
  </si>
  <si>
    <t xml:space="preserve">Mostly pure — decision is two lines; plateViewRunId bump is UI.</t>
  </si>
  <si>
    <t xml:space="preserve">None (belongs next to plates/plateLayout.ts)</t>
  </si>
  <si>
    <t xml:space="preserve">None — remove-model of the last model keeps all plates.</t>
  </si>
  <si>
    <t xml:space="preserve">plates + activePlateId captured in both snapshots</t>
  </si>
  <si>
    <t xml:space="preserve">internal: deleteModels (also overlaps deleteModelsAndExtraPlates at 8034)</t>
  </si>
  <si>
    <t xml:space="preserve">Overlaps with deleteModelsAndExtraPlates; decide which owns the rule.</t>
  </si>
  <si>
    <t xml:space="preserve">platesAfterModelRemoval({ remainingModelCount, plates, activePlateId }) =&gt; { plates; activePlateId; changed }</t>
  </si>
  <si>
    <t xml:space="preserve">0 models left, 3 plates -&gt; 1 plate active=first; 1 model left -&gt; unchanged; 0 models 1 plate -&gt; unchanged.</t>
  </si>
  <si>
    <t xml:space="preserve">plateViewRunId drives camera reframe in viewer.</t>
  </si>
  <si>
    <t xml:space="preserve">delete-models-support-cascade</t>
  </si>
  <si>
    <t xml:space="preserve">deleteModels (support cleanup) / deleteSupportsForModel</t>
  </si>
  <si>
    <t xml:space="preserve">For each deleted model, removes all support entities with that modelId across every registered type, plus kickstand roots/host knots and knots riding removed shafts; then a defensive second pass.</t>
  </si>
  <si>
    <t xml:space="preserve">useSceneCollectionManager.ts:4861-4879</t>
  </si>
  <si>
    <t xml:space="preserve">Reads: support store getSnapshot
Writes: support store via setSnapshot (also clears support selection/hover)</t>
  </si>
  <si>
    <t xml:space="preserve">Mixed — the rule in SupportModelLinker.deleteSupportsForModel is pure computation ending in setSnapshot; easy to split into compute + apply.</t>
  </si>
  <si>
    <t xml:space="preserve">src/supports/PlacementLogic/SupportModelLinker.ts deleteSupportsForModel, getSupportsForModel; MODEL_ID_COLLECTION_KEYS</t>
  </si>
  <si>
    <t xml:space="preserve">Partial — remove-model hand-filters 5 collections (roots, trunks, branches, leaves, braces) by modelId; misses knots, twigs, sticks, stumps, kickstands. The CLI's own `support remove` has a separate hand-written cascade.</t>
  </si>
  <si>
    <t xml:space="preserve">Captured by includeSupportState snapshot</t>
  </si>
  <si>
    <t xml:space="preserve">internal: deleteModels, deleteSupportsForModels</t>
  </si>
  <si>
    <t xml:space="preserve">Return the next state instead of calling setSnapshot; then CLI can call it on doc.supports (needs a SupportState&lt;-&gt;DragonfruitImportFormat adapter — record vs array).</t>
  </si>
  <si>
    <t xml:space="preserve">removeSupportsForModels({ supports: Pick&lt;SupportState, SupportCollectionKey | 'knots'&gt;, modelIds: string[] }) =&gt; { supports; removedCount }</t>
  </si>
  <si>
    <t xml:space="preserve">Fixture with every support type on model A and B; remove A -&gt; zero A entities, B unchanged; knots on removed shafts gone; kickstand root+host knot gone; count excludes roots.</t>
  </si>
  <si>
    <t xml:space="preserve">emitSupportInteractionReset('setSnapshot') resets support tools.</t>
  </si>
  <si>
    <t xml:space="preserve">delete-model</t>
  </si>
  <si>
    <t xml:space="preserve">deleteModel</t>
  </si>
  <si>
    <t xml:space="preserve">Single-id wrapper: fire-and-forget deleteModels([id]).</t>
  </si>
  <si>
    <t xml:space="preserve">useSceneCollectionManager.ts:4896-4898</t>
  </si>
  <si>
    <t xml:space="preserve">Reads: -
Writes: via deleteModels</t>
  </si>
  <si>
    <t xml:space="preserve">Mostly React — wrapper only.</t>
  </si>
  <si>
    <t xml:space="preserve">Partial — same as remove-model (see delete-models).</t>
  </si>
  <si>
    <t xml:space="preserve">via deleteModels</t>
  </si>
  <si>
    <t xml:space="preserve">src/components/organisms/panels/ModelsPanel.tsx (onDelete trash button)</t>
  </si>
  <si>
    <t xml:space="preserve">None; keep as thin adapter.</t>
  </si>
  <si>
    <t xml:space="preserve">Covered by delete-models tests.</t>
  </si>
  <si>
    <t xml:space="preserve">delete-supports-for-models</t>
  </si>
  <si>
    <t xml:space="preserve">deleteSupportsForModels</t>
  </si>
  <si>
    <t xml:space="preserve">Removes all supports of the given models (only those that have any) in one undoable step; returns the number removed. Models stay.</t>
  </si>
  <si>
    <t xml:space="preserve">useSceneCollectionManager.ts:4900-4936</t>
  </si>
  <si>
    <t xml:space="preserve">Reads: modelsRef, activeModelIdRef, selectedModelIdsRef, support store
Writes: support store; scene history</t>
  </si>
  <si>
    <t xml:space="preserve">Mixed — target filtering pure; removal goes through support store.</t>
  </si>
  <si>
    <t xml:space="preserve">SupportModelLinker.ts deleteSupportsForModel/getSupportsForModel</t>
  </si>
  <si>
    <t xml:space="preserve">None — `support remove` takes one support id; no 'remove all supports of model'.</t>
  </si>
  <si>
    <t xml:space="preserve">pushSceneSnapshotHistory includeSupportState, label = caller's or deleteSupportsForModelLabel/deleteSupportsForModelsLabel</t>
  </si>
  <si>
    <t xml:space="preserve">src/app/page.tsx handleConfirmDestructiveTransform (2485) — scale/rotate that invalidates supports</t>
  </si>
  <si>
    <t xml:space="preserve">Same core as the delete cascade; one pure removeSupportsForModels serves both.</t>
  </si>
  <si>
    <t xml:space="preserve">removeSupportsForModels({ supports, modelIds }) =&gt; { supports; removedCount; affectedModelIds }</t>
  </si>
  <si>
    <t xml:space="preserve">Models with/without supports -&gt; only those with supports targeted; returns count; no history when nothing to remove; unknown ids ignored.</t>
  </si>
  <si>
    <t xml:space="preserve">page bumps supportRenderRefreshNonce after calling it.</t>
  </si>
  <si>
    <t xml:space="preserve">delete-active-model-handler</t>
  </si>
  <si>
    <t xml:space="preserve">useEffect registerDeleteHandler</t>
  </si>
  <si>
    <t xml:space="preserve">Registers with the global delete registry (priority 10): in prepare mode with an active model, Delete removes the active model.</t>
  </si>
  <si>
    <t xml:space="preserve">useSceneCollectionManager.ts:7069-7081</t>
  </si>
  <si>
    <t xml:space="preserve">Reads: mode, activeModelId, deleteModel
Writes: deleteRegistry module Set (register/unregister)</t>
  </si>
  <si>
    <t xml:space="preserve">Mostly React — effect wiring into a module registry.</t>
  </si>
  <si>
    <t xml:space="preserve">registerDeleteHandler (features/delete/deleteRegistry.ts)</t>
  </si>
  <si>
    <t xml:space="preserve">Partial — `scene remove-model --id` removes by explicit id (cascades supports).</t>
  </si>
  <si>
    <t xml:space="preserve">Via deleteModel</t>
  </si>
  <si>
    <t xml:space="preserve">internal effect; competing handlers in src/app/page.tsx (priority 30 selected models, 20 select-all), useSupportInteractionManager (100, support mode), useHolePunchManager</t>
  </si>
  <si>
    <t xml:space="preserve">Med — — check whether activeModelId set with empty selection is reachable</t>
  </si>
  <si>
    <t xml:space="preserve">Shadowed by page.tsx priority-30 handler whenever selectedModelIds is non-empty, so it only fires when there is an active model but empty selection. Pure hotkey wiring.</t>
  </si>
  <si>
    <t xml:space="preserve">With selection [a,b] and active a, Delete removes both (page handler wins); with active a and empty selection, removes a.</t>
  </si>
  <si>
    <t xml:space="preserve">Delete/Backspace hotkey -&gt; triggerDelete() -&gt; highest-priority handler.</t>
  </si>
  <si>
    <t xml:space="preserve">set-model-manual-z-move-override</t>
  </si>
  <si>
    <t xml:space="preserve">setModelManualZMoveOverride</t>
  </si>
  <si>
    <t xml:space="preserve">Flags a model as 'Z set by hand' so Auto Lift/seat-on-plate leaves it alone (page.tsx seatSelectionOnPlate skips it). No history, not saved to VOXL; models loaded from .voxl/project are created with it true.</t>
  </si>
  <si>
    <t xml:space="preserve">Volume bounds and seating</t>
  </si>
  <si>
    <t xml:space="preserve">useSceneCollectionManager.ts:4154-4164</t>
  </si>
  <si>
    <t xml:space="preserve">Reads: models (via setter)
Writes: models (manualZMoveOverride)</t>
  </si>
  <si>
    <t xml:space="preserve">Mostly pure — one-field map in a setState updater.</t>
  </si>
  <si>
    <t xml:space="preserve">None — field absent from VoxlModelEntry; CLI place-on-platform ignores the concept.</t>
  </si>
  <si>
    <t xml:space="preserve">None (but it rides along in any later snapshot since cloneLoadedModel keeps it)</t>
  </si>
  <si>
    <t xml:space="preserve">src/app/page.tsx:9229 (disableAutoLiftForManualZMove), :9244 (handleAutoLiftChange), :9799 (place-on-face)</t>
  </si>
  <si>
    <t xml:space="preserve">Session-only flag that changes what lift/drop does: a CLI lift/drop cannot match the app without either persisting it or taking it as an explicit input.</t>
  </si>
  <si>
    <t xml:space="preserve">n/a — feed as input: buildLiftDropUpdates({ models: {id, geometry, transform, manualZMoveOverride?}[], targetIds, targetZ, respectManualZ })</t>
  </si>
  <si>
    <t xml:space="preserve">Set true -&gt; seatSelectionOnPlate skips model; toggle Auto Lift -&gt; cleared for selection; loaded voxl models start true.</t>
  </si>
  <si>
    <t xml:space="preserve">placement</t>
  </si>
  <si>
    <t xml:space="preserve">scene-bounds</t>
  </si>
  <si>
    <t xml:space="preserve">sceneBounds</t>
  </si>
  <si>
    <t xml:space="preserve">World-space bounding box of every visible model: each model's cached geometry bbox is re-centred on its geometry centre, posed by its transform (position, global-Euler rotation, scale) and unioned. Null when no model is visible.</t>
  </si>
  <si>
    <t xml:space="preserve">useSceneCollectionManager.ts:7536-7572</t>
  </si>
  <si>
    <t xml:space="preserve">Reads: models (geometry.bbox, geometry.center, transform, visible)
Writes: None (memo)</t>
  </si>
  <si>
    <t xml:space="preserve">Mixed — the rule (centre, pose, union of AABBs) is 25 lines of logic but written in THREE.Box3/Matrix4 and quaternionFromGlobalEuler; React part is only useMemo.</t>
  </si>
  <si>
    <t xml:space="preserve">quaternionFromGlobalEuler (@/utils/rotation)</t>
  </si>
  <si>
    <t xml:space="preserve">None — no CLI command reports scene bounds; slice computes its own Z range from the mesh.</t>
  </si>
  <si>
    <t xml:space="preserve">src/app/page.tsx (only fallbackZRange min.z, ~6888)</t>
  </si>
  <si>
    <t xml:space="preserve">Depends on THREE.Box3 and a THREE geometry bbox; VOXL entries carry no bbox, so a CLI path would need bbox from mesh bytes. Single remaining consumer is a 'legacy' fallback Z range; may be a deletion candidate rather than an extraction.</t>
  </si>
  <si>
    <t xml:space="preserve">sceneWorldBounds({ models: readonly { visible: boolean; bbox: Box3Like; center: Vec3; transform: { position: Vec3; rotation: Euler3; scale: Vec3 } }[] }): { min: Vec3; max: Vec3 } | null</t>
  </si>
  <si>
    <t xml:space="preserve">Two cubes 10mm, one at (0,0,5) one at (50,0,5): min=(-5,-5,0) max=(55,5,10). Hidden model ignored. Rotated 45deg about Z grows XY extent to 10*sqrt2. All hidden -&gt; null. Empty -&gt; null.</t>
  </si>
  <si>
    <t xml:space="preserve">No (all visible models)</t>
  </si>
  <si>
    <t xml:space="preserve">geometry-lifecycle</t>
  </si>
  <si>
    <t xml:space="preserve">default-import-center</t>
  </si>
  <si>
    <t xml:space="preserve">defaultImportCenterXY</t>
  </si>
  <si>
    <t xml:space="preserve">World XY where new work lands: the centre of the active plate (local centre from originMode + cascade offset of the active plate's index).</t>
  </si>
  <si>
    <t xml:space="preserve">Placement and duplicate layout</t>
  </si>
  <si>
    <t xml:space="preserve">useSceneCollectionManager.ts:2001-2022</t>
  </si>
  <si>
    <t xml:space="preserve">Reads: view3dSettings (width, depth, originMode), plates, activePlateId, plateOrdering
Writes: None</t>
  </si>
  <si>
    <t xml:space="preserve">Mostly pure — plateLocalRect + plateCascadeOffsetMm; returns THREE.Vector2.</t>
  </si>
  <si>
    <t xml:space="preserve">plateLocalRect (plateLayout), plateCascadeOffsetMm (plateCascade)</t>
  </si>
  <si>
    <t xml:space="preserve">None — add-model defaults to (0,0,0); center-xy moves to (0,0) regardless of plate or originMode.</t>
  </si>
  <si>
    <t xml:space="preserve">internal: loadFiles 2926, 2969; findFreeSpotCentersForModels; pasteCopiedModelsAutoArrange 5079-5080; duplicateModelWithTransforms dep 5586</t>
  </si>
  <si>
    <t xml:space="preserve">Equivalent to computePlateFrames(...)[i] centre; should be expressed via frames.</t>
  </si>
  <si>
    <t xml:space="preserve">plateCenter({ frames: PlateFrame[], plateId }): { x, y }</t>
  </si>
  <si>
    <t xml:space="preserve">Plate 2 of 2, dynamic ordering, 218x122 centre origin -&gt; (218+24, 0); front_left origin -&gt; (109, 61) on plate 1.</t>
  </si>
  <si>
    <t xml:space="preserve">intersects-rect</t>
  </si>
  <si>
    <t xml:space="preserve">intersectsRect, Rect2D</t>
  </si>
  <si>
    <t xml:space="preserve">Axis-aligned rectangle overlap test (touching edges count as overlap).</t>
  </si>
  <si>
    <t xml:space="preserve">useSceneCollectionManager.ts:2024-2028</t>
  </si>
  <si>
    <t xml:space="preserve">Mostly pure — useCallback wrapper only.</t>
  </si>
  <si>
    <t xml:space="preserve">None (duplicated inline in pasteCopiedModelsAutoArrange 5087)</t>
  </si>
  <si>
    <t xml:space="preserve">internal: findFreeSpotCentersForModels; a second copy at 5087 (paste)</t>
  </si>
  <si>
    <t xml:space="preserve">Duplicated; plateInteractivity has a PlateRect type that could host it.</t>
  </si>
  <si>
    <t xml:space="preserve">rectsOverlap({ a: Rect, b: Rect }): boolean</t>
  </si>
  <si>
    <t xml:space="preserve">Shared edge -&gt; true; 0.001 gap -&gt; false.</t>
  </si>
  <si>
    <t xml:space="preserve">is-rect-inside-plate</t>
  </si>
  <si>
    <t xml:space="preserve">isRectInsidePlate</t>
  </si>
  <si>
    <t xml:space="preserve">Whether a world rect lies fully within the active plate's rect (edges inclusive).</t>
  </si>
  <si>
    <t xml:space="preserve">useSceneCollectionManager.ts:2048-2055</t>
  </si>
  <si>
    <t xml:space="preserve">Reads: activePlateRect
Writes: None</t>
  </si>
  <si>
    <t xml:space="preserve">internal: isModelFootprintInsidePlate, findFreeSpotCentersForModels</t>
  </si>
  <si>
    <t xml:space="preserve">Implicit active plate.</t>
  </si>
  <si>
    <t xml:space="preserve">rectInsidePlate({ rect, plate: PlateRect }): boolean</t>
  </si>
  <si>
    <t xml:space="preserve">Rect touching max edge -&gt; inside; 0.01 over -&gt; outside.</t>
  </si>
  <si>
    <t xml:space="preserve">footprint-for-transform</t>
  </si>
  <si>
    <t xml:space="preserve">footprintForTransform</t>
  </si>
  <si>
    <t xml:space="preserve">Width/depth of a model's footprint on the bed, projected through its full rotation and scale (convex hull of sampled points).</t>
  </si>
  <si>
    <t xml:space="preserve">useSceneCollectionManager.ts:2057-2062</t>
  </si>
  <si>
    <t xml:space="preserve">Reads: geometry, transform
Writes: footprint cache (inside modelFootprint)</t>
  </si>
  <si>
    <t xml:space="preserve">Mixed — computeProjectedFootprintSize uses THREE Euler/Vector3 and caches per geometry.</t>
  </si>
  <si>
    <t xml:space="preserve">computeProjectedFootprintSize (utils/modelFootprint.ts)</t>
  </si>
  <si>
    <t xml:space="preserve">None — CLI arrange computes hulls via its own ArrangeModel path; no footprint for placement.</t>
  </si>
  <si>
    <t xml:space="preserve">internal: buildMeshPlacementOffsets; pasteCopiedModelsAutoArrange 5198; duplicateModelWithTransforms dep</t>
  </si>
  <si>
    <t xml:space="preserve">Needs vertex positions; THREE typed. A pure version needs positions Float32Array + rotation/scale plain.</t>
  </si>
  <si>
    <t xml:space="preserve">projectedFootprintSize({ positions: Float32Array, rotation: Euler3, scale: Vec3 }): { width, depth }</t>
  </si>
  <si>
    <t xml:space="preserve">Cube 10 mm rotated 45 deg on Z -&gt; ~14.14 x 14.14; tipped 90 deg on X -&gt; depth becomes height.</t>
  </si>
  <si>
    <t xml:space="preserve">build-mesh-placement-offsets</t>
  </si>
  <si>
    <t xml:space="preserve">buildMeshPlacementOffsets</t>
  </si>
  <si>
    <t xml:space="preserve">Turns a footprint at a centre into offsets from the centre (half width/depth each way) and a size clamped to at least 2 mm.</t>
  </si>
  <si>
    <t xml:space="preserve">useSceneCollectionManager.ts:2064-2085</t>
  </si>
  <si>
    <t xml:space="preserve">Mostly pure — arithmetic on footprintForTransform.</t>
  </si>
  <si>
    <t xml:space="preserve">internal: modelFootprintRect, findFreeSpotCentersForModels, loadFiles seatModelOnNewBedIfNeeded 2778</t>
  </si>
  <si>
    <t xml:space="preserve">Med — — offsets are symmetric about the model position; verify that matches meshes whose origin is not their centre</t>
  </si>
  <si>
    <t xml:space="preserve">Footprint is centred on the model origin, not the geometry's bbox centre (offsets always symmetric) — check if intended.</t>
  </si>
  <si>
    <t xml:space="preserve">placementOffsets({ footprint: { width, depth } }): { minXOffset, maxXOffset, minYOffset, maxYOffset, width, depth }</t>
  </si>
  <si>
    <t xml:space="preserve">Footprint 1x1 -&gt; width/depth 2, offsets +-0.5 (clamp only on size, not offsets).</t>
  </si>
  <si>
    <t xml:space="preserve">model-footprint-rect</t>
  </si>
  <si>
    <t xml:space="preserve">modelFootprintRect</t>
  </si>
  <si>
    <t xml:space="preserve">A model's footprint where it stands, as a world rect; the base of every bed test.</t>
  </si>
  <si>
    <t xml:space="preserve">useSceneCollectionManager.ts:2087-2103</t>
  </si>
  <si>
    <t xml:space="preserve">Reads: model.transform.position, geometry
Writes: None</t>
  </si>
  <si>
    <t xml:space="preserve">internal: isModelFootprintInsidePlate; handleImportVoxlFile 6694 (off-bed detection with rectStandsOnAnyBed)</t>
  </si>
  <si>
    <t xml:space="preserve">THREE geometry for footprint.</t>
  </si>
  <si>
    <t xml:space="preserve">modelFootprintRect({ position: {x,y}, footprint: {width,depth} }): Rect</t>
  </si>
  <si>
    <t xml:space="preserve">Model at (10,5), footprint 20x10 -&gt; {0..20, 0..10}.</t>
  </si>
  <si>
    <t xml:space="preserve">is-model-footprint-inside-plate</t>
  </si>
  <si>
    <t xml:space="preserve">isModelFootprintInsidePlate</t>
  </si>
  <si>
    <t xml:space="preserve">Whether a model's footprint lies wholly on the active plate; used to count off-plate models on plugin/VOXL import to decide the placement prompt.</t>
  </si>
  <si>
    <t xml:space="preserve">useSceneCollectionManager.ts:2105-2107</t>
  </si>
  <si>
    <t xml:space="preserve">modelFootprintRect, isRectInsidePlate</t>
  </si>
  <si>
    <t xml:space="preserve">internal: handleImportPluginSceneFile 5928 (off-plate count), deps 6286, 6868</t>
  </si>
  <si>
    <t xml:space="preserve">Plugin import judges 'off plate' against the ACTIVE plate only, while VOXL import uses rectStandsOnAnyBed over all beds (6694) — inconsistent rules.</t>
  </si>
  <si>
    <t xml:space="preserve">modelsOffBeds({ models: {id, position, footprint}[], beds: PlateRect[] }): string[]</t>
  </si>
  <si>
    <t xml:space="preserve">Two-plate scene, plugin file with a model on plate 2's area: counted off-plate (prompt shown) while a VOXL import would not prompt — pin both.</t>
  </si>
  <si>
    <t xml:space="preserve">find-free-spot-centers</t>
  </si>
  <si>
    <t xml:space="preserve">findFreeSpotCentersForModels</t>
  </si>
  <si>
    <t xml:space="preserve">Places incoming models in order: a ring grid of candidate centres around the active plate's centre (step = largest footprint + spacing, nearest first), blocks rects of visible existing models (expanded by their support/raft bounds) and already-placed newcomers; takes the first candidate fully on the active plate and clear; else other beds in cascade order; oversize -&gt; active centre; else a column to the right.</t>
  </si>
  <si>
    <t xml:space="preserve">useSceneCollectionManager.ts:2109-2279</t>
  </si>
  <si>
    <t xml:space="preserve">Reads: defaultImportCenterXY, activePlateRect, activePlateIdRef, platesRef, plateOffsetForRef (declared at 7601), modelsRef (visible models), support store via estimateSupportBoundsForModel, raft settings
Writes: None (returns centres)</t>
  </si>
  <si>
    <t xml:space="preserve">Mixed — the search is ~150 lines of pure arithmetic, but inputs come from 5 refs, a forward-declared ref (plateOffsetForRef), THREE footprints and the support store.</t>
  </si>
  <si>
    <t xml:space="preserve">buildMeshPlacementOffsets, intersectsRect, isRectInsidePlate, estimateSupportBoundsForModel (supportClipboard), plateCascadeOffsetMm via plateOffsetFor</t>
  </si>
  <si>
    <t xml:space="preserve">None — CLI add-model puts models at the given position (default origin); duplicate uses a fixed offset (20,0,0) with no collision test.</t>
  </si>
  <si>
    <t xml:space="preserve">None itself (callers capture snapshots).</t>
  </si>
  <si>
    <t xml:space="preserve">internal: loadFiles 2936, 2979 (each newly imported mesh), handleImportPluginSceneFile (dep 6286; arranges via shelfPack instead), handleImportVoxlFile 6713 (auto-arrange choice)</t>
  </si>
  <si>
    <t xml:space="preserve">Implicit active plate + scene + supports; plateOffsetForRef is filled 5000 lines later. pasteCopiedModelsAutoArrange (5069-5586) re-implements a near-identical ring search per bed with its own intersectsRect: two copies of one rule.</t>
  </si>
  <si>
    <t xml:space="preserve">findFreeSpotCenters({ incoming: {footprint:{width,depth}}[], obstacles: Rect[], frames: PlateFrame[], targetPlateId, spacingMm }): Array&lt;{ x, y, plateId | null }&gt;</t>
  </si>
  <si>
    <t xml:space="preserve">Empty 218x122 plate, one 20x20 model -&gt; plate centre; second -&gt; ring 1 neighbour (step 25); full plate -&gt; next bed in cascade order; 300x300 model -&gt; active centre; model with a raft wider than mesh blocks the raft rect; hidden models are ignored as obstacles; spacing negative treated as 0.</t>
  </si>
  <si>
    <t xml:space="preserve">plateOffsetForRef wired at 7601-7602 (forward reference through a ref).</t>
  </si>
  <si>
    <t xml:space="preserve">Yes — active plate, all existing visible models, global support store</t>
  </si>
  <si>
    <t xml:space="preserve">seat-model-on-new-bed</t>
  </si>
  <si>
    <t xml:space="preserve">seatModelOnNewBedIfNeeded (closure in loadFiles)</t>
  </si>
  <si>
    <t xml:space="preserve">If the free-spot search put the model outside every bed and the model fits a bed, adds one plate (addPlates(1)), moves the model to that new bed's centre and sets its plateId. Oversized models keep the search's fallback.</t>
  </si>
  <si>
    <t xml:space="preserve">useSceneCollectionManager.ts:2762-2793</t>
  </si>
  <si>
    <t xml:space="preserve">Reads: view3dSettings (width/depth/originMode), platesRef, plateOffsetForRef, buildMeshPlacementOffsets
Writes: plates + models (via addPlatesRef: setPlates, shifted models), model.transform.position, model.plateId (mutated)</t>
  </si>
  <si>
    <t xml:space="preserve">Mixed — 'is the point inside any bed' and 'fits a bed' are pure; adding a plate is a state side effect mid-loop</t>
  </si>
  <si>
    <t xml:space="preserve">plateLocalRect (plateLayout), addPlates (in hook), buildMeshPlacementOffsets</t>
  </si>
  <si>
    <t xml:space="preserve">None — the added plate is not recorded in history (paste's equivalent is, via its snapshot)</t>
  </si>
  <si>
    <t xml:space="preserve">internal: loadFiles (both branches)</t>
  </si>
  <si>
    <t xml:space="preserve">Restates the bed-rect formula inline (localMin + offset, +width/depth) that ADR-0045 says plateLayout should own (computePlateFrames). Center-inside-bed test uses the model centre, not its footprint. Mutation of a plate list mid-import is the blocker: a planner should return platesToAdd and the manager adds them.</t>
  </si>
  <si>
    <t xml:space="preserve">needsOwnBed({ center: {x,y}; footprint: { width; depth }; frames: PlateFrame[]; bed: { widthMm; depthMm } }) =&gt; boolean (new-bed centre then from computePlateFrames on the extended list)</t>
  </si>
  <si>
    <t xml:space="preserve">All beds full, 20 mm cube -&gt; plates +1, model at new bed centre, plateId = new id. 300 mm model on 200 mm bed -&gt; no plate added. Undo after import: record whether added plate remains (it does today).</t>
  </si>
  <si>
    <t xml:space="preserve">addPlatesRef/plateOffsetForRef are assigned later in the hook (7601, 7917) to dodge declaration order</t>
  </si>
  <si>
    <t xml:space="preserve">No — acts on the passed model; plate list from refs</t>
  </si>
  <si>
    <t xml:space="preserve">import-free-spot-placement</t>
  </si>
  <si>
    <t xml:space="preserve">loadFiles -&gt; findFreeSpotCentersForModels([...staged, model], 5).at(-1)</t>
  </si>
  <si>
    <t xml:space="preserve">Places each new model at the nearest free grid spot (5 mm spacing) on the active plate, avoiding visible models (and their estimated support bounds) and models staged earlier in this batch; then tries other beds; oversized models centre on the active bed; last resort is a column beside the plates.</t>
  </si>
  <si>
    <t xml:space="preserve">useSceneCollectionManager.ts:2936-2940, 2979-2983 (search itself at 2109-2279)</t>
  </si>
  <si>
    <t xml:space="preserve">Reads: modelsRef, supports store (estimateSupportBoundsForModel), activePlateRect, platesRef, plateOffsetForRef, defaultImportCenterXY
Writes: model.transform.position (mutated in place)</t>
  </si>
  <si>
    <t xml:space="preserve">Mostly pure — the search is pure rectangle math once footprints are computed; reads refs and the support store for occupancy. Called with the whole staged list each time and only the last result kept (O(n^2) over a batch)</t>
  </si>
  <si>
    <t xml:space="preserve">findFreeSpotCentersForModels, buildMeshPlacementOffsets, footprintForTransform -&gt; computeProjectedFootprintSize (utils/modelFootprint), plateCascadeOffsetMm, plateLocalRect</t>
  </si>
  <si>
    <t xml:space="preserve">None — add-model puts the model at --position or 0,0,0; no collision avoidance</t>
  </si>
  <si>
    <t xml:space="preserve">internal: loadFiles; findFreeSpotCentersForModels is also used by paste/duplicate (other ranges)</t>
  </si>
  <si>
    <t xml:space="preserve">Search lives just before my range (2109-2279) and should be the first pure module of the import group: inputs are rects. Blockers: footprint from THREE geometry (computeProjectedFootprintSize) and support bounds from the supports store — both can be precomputed by the caller. Re-running the search for each staged prefix means earlier staged models are re-placed in the search's blockedRects but their result is discarded; the kept placement relies on determinism.</t>
  </si>
  <si>
    <t xml:space="preserve">findFreeSpots({ incoming: PlacementFootprint[]; occupied: Rect2D[]; target: { plateId; rect: Rect2D; center: {x,y} }; otherBeds: { plateId; rect: Rect2D }[]; spacingMm: number }) =&gt; { x: number; y: number; plateId?: string }[]</t>
  </si>
  <si>
    <t xml:space="preserve">Empty plate, 20 mm cube -&gt; plate centre. Second cube -&gt; next ring spot 25 mm away. Batch of 3 -&gt; no overlaps, deterministic. Hidden model does not block. Model with supports blocks its support bounds. Full active plate -&gt; spot on plate 2. Larger than bed -&gt; active centre.</t>
  </si>
  <si>
    <t xml:space="preserve">estimateSupportBoundsForModel reads the supports module store</t>
  </si>
  <si>
    <t xml:space="preserve">Active plate</t>
  </si>
  <si>
    <t xml:space="preserve">copy-model</t>
  </si>
  <si>
    <t xml:space="preserve">copyModel</t>
  </si>
  <si>
    <t xml:space="preserve">Puts one model (by id) and its supports on the in-memory model clipboard, replacing its contents. Returns false if not found.</t>
  </si>
  <si>
    <t xml:space="preserve">useSceneCollectionManager.ts:4938-4965</t>
  </si>
  <si>
    <t xml:space="preserve">Reads: models (React state), support store
Writes: modelClipboard state</t>
  </si>
  <si>
    <t xml:space="preserve">Mixed — entry build pure, clipboard is React state.</t>
  </si>
  <si>
    <t xml:space="preserve">supportClipboard.ts captureModelSupportsToClipboard</t>
  </si>
  <si>
    <t xml:space="preserve">None — no clipboard concept; `scene duplicate` is the CLI analogue.</t>
  </si>
  <si>
    <t xml:space="preserve">src/app/page.tsx (context menu 'copy' 6295, Ctrl+C hotkey 9944)</t>
  </si>
  <si>
    <t xml:space="preserve">Clipboard is session UI state, not document state; only the entry construction is a rule.</t>
  </si>
  <si>
    <t xml:space="preserve">n/a (UI plumbing; see clipboard-entry-build)</t>
  </si>
  <si>
    <t xml:space="preserve">Copy unknown id -&gt; false, clipboard unchanged.</t>
  </si>
  <si>
    <t xml:space="preserve">Hotkey store isCJustPressed in page.tsx.</t>
  </si>
  <si>
    <t xml:space="preserve">No (page passes activeModelId)</t>
  </si>
  <si>
    <t xml:space="preserve">cut-copy-paste</t>
  </si>
  <si>
    <t xml:space="preserve">clipboard-entry-build</t>
  </si>
  <si>
    <t xml:space="preserve">copyModel / copySelectedModels (ModelClipboardEntry literal)</t>
  </si>
  <si>
    <t xml:space="preserve">Builds a clipboard entry from a model: name, size, shared geometry reference, cloned transform, colour, polygons, isSupportGeometry, linkGroupId, plus a support payload captured from the support store. meshModifiers explicitly undefined.</t>
  </si>
  <si>
    <t xml:space="preserve">useSceneCollectionManager.ts:4944-4962, 4974-4993</t>
  </si>
  <si>
    <t xml:space="preserve">Reads: model, support store (captureModelSupportsToClipboard)
Writes: none (returns entry)</t>
  </si>
  <si>
    <t xml:space="preserve">Mixed — the literal is pure (duplicated twice verbatim); support capture reads the global support store.</t>
  </si>
  <si>
    <t xml:space="preserve">internal: copyModel, copySelectedModels</t>
  </si>
  <si>
    <t xml:space="preserve">Med — — check whether paste (pasteCopiedModelsAutoArrange) restores modifiers some other way; none found.</t>
  </si>
  <si>
    <t xml:space="preserve">Mesh modifiers (hollowing/holes) are NOT copied — they live in meshModifierStore and the entry sets undefined; plateId, groupId/groupName also not carried. Dedupe into one function.</t>
  </si>
  <si>
    <t xml:space="preserve">toClipboardEntry({ model, supports: SupportCollections, modifiers? }) =&gt; ModelClipboardEntry</t>
  </si>
  <si>
    <t xml:space="preserve">Copy hollowed model then paste -&gt; pasted model has no hollowing (pin current behaviour, then decide).</t>
  </si>
  <si>
    <t xml:space="preserve">copy-selected-models</t>
  </si>
  <si>
    <t xml:space="preserve">copySelectedModels</t>
  </si>
  <si>
    <t xml:space="preserve">Copies the given ids, or the current selection when none are given, to the clipboard (in scene order).</t>
  </si>
  <si>
    <t xml:space="preserve">useSceneCollectionManager.ts:4967-4996</t>
  </si>
  <si>
    <t xml:space="preserve">Reads: models, selectedModelIds (React state), support store
Writes: modelClipboard</t>
  </si>
  <si>
    <t xml:space="preserve">Mixed — selectModelsForClipboard is pure; rest is entry build + setState.</t>
  </si>
  <si>
    <t xml:space="preserve">modelCut.ts selectModelsForClipboard; supportClipboard.ts captureModelSupportsToClipboard</t>
  </si>
  <si>
    <t xml:space="preserve">src/app/page.tsx (6293, 9942); modelCut.ts performModelCut</t>
  </si>
  <si>
    <t xml:space="preserve">Make ids required at the hook boundary; page resolves via modelActionTargets.</t>
  </si>
  <si>
    <t xml:space="preserve">selectModelsForClipboard({ models, ids }) (exists, but takes positional args — convert to one params object per ADR)</t>
  </si>
  <si>
    <t xml:space="preserve">ids order vs scene order (scene order wins); empty -&gt; false.</t>
  </si>
  <si>
    <t xml:space="preserve">Yes — falls back to selectedModelIds when ids omitted (page always omits them)</t>
  </si>
  <si>
    <t xml:space="preserve">cut-selected-models</t>
  </si>
  <si>
    <t xml:space="preserve">cutSelectedModels</t>
  </si>
  <si>
    <t xml:space="preserve">Copy then delete the given ids (delete is fire-and-forget, with its own history entry).</t>
  </si>
  <si>
    <t xml:space="preserve">useSceneCollectionManager.ts:4998-5000</t>
  </si>
  <si>
    <t xml:space="preserve">Reads: via copySelectedModels/deleteModels
Writes: modelClipboard, plus everything deleteModels writes</t>
  </si>
  <si>
    <t xml:space="preserve">Mostly React — composition only.</t>
  </si>
  <si>
    <t xml:space="preserve">modelCut.ts performModelCut</t>
  </si>
  <si>
    <t xml:space="preserve">Only the delete half (deleteModels label 'Delete ...'), no 'Cut' label</t>
  </si>
  <si>
    <t xml:space="preserve">src/app/page.tsx context menu 'cut' via dispatchCutModelAction; modelActionTargets.ts</t>
  </si>
  <si>
    <t xml:space="preserve">None beyond deleteModels.</t>
  </si>
  <si>
    <t xml:space="preserve">Existing modelCut.test.ts; add: undo label after cut reads as delete.</t>
  </si>
  <si>
    <t xml:space="preserve">No Ctrl+X hotkey found in page.tsx (only context menu).</t>
  </si>
  <si>
    <t xml:space="preserve">cut-model</t>
  </si>
  <si>
    <t xml:space="preserve">cutModel</t>
  </si>
  <si>
    <t xml:space="preserve">Single-id wrapper over cutSelectedModels.</t>
  </si>
  <si>
    <t xml:space="preserve">useSceneCollectionManager.ts:5002-5004</t>
  </si>
  <si>
    <t xml:space="preserve">Reads: -
Writes: via cutSelectedModels</t>
  </si>
  <si>
    <t xml:space="preserve">Mostly React — wrapper.</t>
  </si>
  <si>
    <t xml:space="preserve">None found outside the hook (dead returned key)</t>
  </si>
  <si>
    <t xml:space="preserve">Candidate for removal.</t>
  </si>
  <si>
    <t xml:space="preserve">paste-model</t>
  </si>
  <si>
    <t xml:space="preserve">pasteModel</t>
  </si>
  <si>
    <t xml:space="preserve">Pastes the FIRST clipboard entry as a new model offset +6mm X/Y, sharing the geometry, selects it; after a paint, re-creates its supports from the clipboard payload (transformed to the new position) and pushes one history entry covering model+supports.</t>
  </si>
  <si>
    <t xml:space="preserve">useSceneCollectionManager.ts:5006-5067</t>
  </si>
  <si>
    <t xml:space="preserve">Reads: modelClipboard, models, activeModelId, selectedModelIds (React state), support store
Writes: models, activeModelId, selectedModelIds, support store (batched); scene history (deferred)</t>
  </si>
  <si>
    <t xml:space="preserve">Mixed — new-model record + offset is pure; support paste is store mutation; history pushed in a setTimeout (schedulePostPaint), so an undo pressed before it fires sees no entry.</t>
  </si>
  <si>
    <t xml:space="preserve">supportClipboard.ts pasteModelSupportsFromClipboard; cloneGeometryWithBounds(shared)</t>
  </si>
  <si>
    <t xml:space="preserve">None — `scene duplicate` is the closest; different offset/placement rule.</t>
  </si>
  <si>
    <t xml:space="preserve">pushSceneSnapshotHistory (includeSupportState, supportStateOverride=before) inside schedulePostPaint, label pasteModelLabel</t>
  </si>
  <si>
    <t xml:space="preserve">None found outside the hook — page uses pasteCopiedModelsAutoArrange (5069, next range). Dead returned key.</t>
  </si>
  <si>
    <t xml:space="preserve">Ignores other clipboard entries; fileUrl ''; no plateId (lands on plate1 per resolveModelPlateId fallback unless position falls in a frame); begin/endSupportStateBatch called twice (nested). Uses stale React state rather than refs.</t>
  </si>
  <si>
    <t xml:space="preserve">planPaste({ entry: { transform; name; ... }, newId, offset: {x,y} }) =&gt; ModelSeed + remapSupportsForPaste({ payload, sourceTransform, targetTransform, targetModelId }) =&gt; SupportCollections delta</t>
  </si>
  <si>
    <t xml:space="preserve">Paste with 2 entries -&gt; only first pasted; position +6,+6,0; supports moved by same delta; single undo removes model and supports.</t>
  </si>
  <si>
    <t xml:space="preserve">Yes — clipboard contents (first entry only)</t>
  </si>
  <si>
    <t xml:space="preserve">paste-auto-arrange</t>
  </si>
  <si>
    <t xml:space="preserve">pasteCopiedModelsAutoArrange</t>
  </si>
  <si>
    <t xml:space="preserve">Pastes every model in the model clipboard as new models (with their copied supports), placing each one in a free spot: first on the active plate, then on the other plates in order, then on new plates it adds; anything bigger than a bed goes in a row left of the beds. Selects the copies and records one undo step.</t>
  </si>
  <si>
    <t xml:space="preserve">useSceneCollectionManager.ts:5069-5586</t>
  </si>
  <si>
    <t xml:space="preserve">Reads: modelClipboard, models (render) + modelsRef (live), activeModelId, selectedModelIds, support store getSnapshot(), getRaftSettings(), platesRef, activePlateIdRef, plateOffsetForRef, defaultImportCenterXY, activePlateRect, view3dSettings (width/depth/origin), estimateSupportBoundsForModel (support store)
Writes: models (setModels from modelsRef + pasted), activeModelId, selectedModelIds, plates via addPlatesRef.current(n) (which also shifts models + their supports), support store via pasteModelSupports in schedulePostPaint, history</t>
  </si>
  <si>
    <t xml:space="preserve">Mixed — ~400 lines (5085-5500) are a pure placement plan: support-payload rect, footprint offsets, ring-grid candidate search per bed, overflow into existing then new beds. Plumbing: refs, addPlatesRef side effect mid-function, THREE.Vector3 creation, uuid, cloneGeometryWithBounds, schedulePostPaint for supports + history.</t>
  </si>
  <si>
    <t xml:space="preserve">footprintForTransform (computeProjectedFootprintSize, utils/modelFootprint.ts), plateLocalRect (plates/plateLayout.ts), computeFootprint + computeRaftOuterBoundary (supports/Rafts), estimateSupportBoundsForModel + pasteModelSupports (supports/PlacementLogic/supportClipboard.ts), SUPPORT_TYPES/contactEndpointsFor, pastedModelName (modelCopyNames.ts). Does NOT use arrange/ (highPrecisionArrange, shelfPack, plateFreeSpace).</t>
  </si>
  <si>
    <t xml:space="preserve">None — no paste command. Closest is `scene duplicate` (fixed offset, no free-spot search, no plates) and `scene arrange` (highPrecisionArrange on a single plate). Neither carries supports.</t>
  </si>
  <si>
    <t xml:space="preserve">pushSceneSnapshotHistory(before, after, pasteModelsLabel(n)) inside schedulePostPaint; snapshot includes support state only if a clipboard entry carried supports, and plates/activePlateId only when new beds were planned (plannedBeds&gt;0). Supports pasted with recordHistory:false.</t>
  </si>
  <si>
    <t xml:space="preserve">src/app/page.tsx x2 (context-menu 'paste' case ~6306, Ctrl+V hotkey ~9951)</t>
  </si>
  <si>
    <t xml:space="preserve">Placement rule is a closure duplicate of findFreeSpotCentersForModels (2109-2279): same ring search, Rect2D, blockedRects, but with support rects and multi-bed overflow. supportRectForPayload is a near-copy of estimateSupportBoundsForModel/estimateRaftBoundsForModel in supportClipboard.ts but reads a payload not the store. Needs raft settings passed in. addPlates is called mid-plan and its returned offsets are needed to finish (two-phase: plan in bed-local frame, then resolve). Uses THREE geometry for footprint.</t>
  </si>
  <si>
    <t xml:space="preserve">planPastePlacement({ entries: Array&lt;{ footprint:{width,depth}, supportRect?:Rect2D|null, position:{x,y} }&gt;, blockers: Rect2D[], activePlate:{ id, rect, center }, otherPlates: Array&lt;{ id, rect }&gt;, bedLocalRect: Rect2D, spacingMm, maxNewPlates }): { placements: Array&lt;{ entryIndex, plateId: string|null, newPlateSlot: number, localX, localY } | { entryIndex, offBed: true, x, y }&gt;, newPlateCount }  plus supportPayloadRect({ payload, raft }): Rect2D|null</t>
  </si>
  <si>
    <t xml:space="preserve">Pin: (1) empty scene, 1 entry 20x20mm, spacing 5 -&gt; lands at active plate center; (2) active plate full -&gt; lands on plate 2 if room, else newPlateCount=1; (3) entry larger than bed -&gt; off-bed column at localMinX-8-width/2, newPlateCount 0; (4) entry with support payload widens rect (raft on/off/line, wall on); (5) tilted model uses rotated footprint; (6) invisible models do not block; (7) MAX_PASTE_PLATES=32 cap.</t>
  </si>
  <si>
    <t xml:space="preserve">Hotkey path in page.tsx also does resin-volume cache bookkeeping on the returned ids; addPlates triggers models shift + shiftSupportsWithModels through modelsShiftedForRelaidPlates.</t>
  </si>
  <si>
    <t xml:space="preserve">Yes: the clipboard (modelClipboard) is the source, the active plate (activePlateIdRef/activePlateRect) is the first target, and the 'blockers' are every visible model in the scene. Only spacingMm is explicit.</t>
  </si>
  <si>
    <t xml:space="preserve">paste-support-rect</t>
  </si>
  <si>
    <t xml:space="preserve">supportRectForPayload (closure in pasteCopiedModelsAutoArrange)</t>
  </si>
  <si>
    <t xml:space="preserve">Works out the XY rectangle a copied model's supports cover: roots (and their disk+cone), the raft outline if rafts are on, knots, kickstand knots, every segment joint and every contact tip of every registered support type.</t>
  </si>
  <si>
    <t xml:space="preserve">useSceneCollectionManager.ts:5091-5179</t>
  </si>
  <si>
    <t xml:space="preserve">Reads: payload (SupportClipboardPayload), getRaftSettings() (raft store), SUPPORT_TYPES registry
Writes: None</t>
  </si>
  <si>
    <t xml:space="preserve">Mostly pure — only getRaftSettings() is a global read; all else is arithmetic over the payload.</t>
  </si>
  <si>
    <t xml:space="preserve">computeFootprint, computeRaftOuterBoundary, SUPPORT_TYPES, contactEndpointsFor</t>
  </si>
  <si>
    <t xml:space="preserve">None — CLI never computes support footprints for placement.</t>
  </si>
  <si>
    <t xml:space="preserve">internal: buildPlacementOffsets inside pasteCopiedModelsAutoArrange</t>
  </si>
  <si>
    <t xml:space="preserve">Duplicates estimateSupportBoundsForModel (supportClipboard.ts:416) which walks the live store instead of a payload; the two differ (payload version expands root top disk+cone and every contact; store version resolves knot ownership). Should be one rule over a narrow support-collection input.</t>
  </si>
  <si>
    <t xml:space="preserve">supportFootprintRect({ supports: Pick&lt;SupportClipboardPayload,'roots'|'knots'|'kickstandKnots'|...collection keys&gt;, raft: RaftFootprintSettings }): Rect2D | null</t>
  </si>
  <si>
    <t xml:space="preserve">Payload with 1 root d=2 at (5,5) -&gt; {4,6,4,6} with raft off; with raft 'line' vs 'full' chamfer 45 vs 90 margins; contact cone uses profile.contactDiameterMm, disk uses contactDiameterMm; empty payload -&gt; null. Compare against estimateSupportBoundsForModel for the same supports in store.</t>
  </si>
  <si>
    <t xml:space="preserve">Raft settings read from the global raft store</t>
  </si>
  <si>
    <t xml:space="preserve">paste-place-into-bed</t>
  </si>
  <si>
    <t xml:space="preserve">placeIntoBed / buildPlacementOffsets / intersectsRect (closures)</t>
  </si>
  <si>
    <t xml:space="preserve">Grid ring search: candidate centres on a grid of (max width+spacing) x (max depth+spacing) around a bed centre, nearest first; each entry takes the first spot fully inside the bed and clear of blockers and already-taken spots. Returns placed and unplaced.</t>
  </si>
  <si>
    <t xml:space="preserve">useSceneCollectionManager.ts:5181-5365</t>
  </si>
  <si>
    <t xml:space="preserve">Reads: maxWidth/maxDepth over all entries, spacingMm (closure)
Writes: None</t>
  </si>
  <si>
    <t xml:space="preserve">Mostly pure — plain arithmetic; footprint call goes through THREE geometry via footprintForTransform.</t>
  </si>
  <si>
    <t xml:space="preserve">footprintForTransform; overlaps conceptually with plateFreeSpace.freeRectsForPlate and shelfPack but uses neither</t>
  </si>
  <si>
    <t xml:space="preserve">internal: pasteCopiedModelsAutoArrange</t>
  </si>
  <si>
    <t xml:space="preserve">Docblock is duplicated verbatim (5266-5283). intersectsRect treats touching edges as overlap (&lt;, &gt;), plateFreeSpace rectsOverlap does not; a shared rule must pick one. Grid step uses the MAX entry size for all entries, so mixed sizes waste space; that is behaviour to pin, not fix silently.</t>
  </si>
  <si>
    <t xml:space="preserve">ringGridPlace({ bed: Rect2D, center:{x,y}, blockers: Rect2D[], items: Array&lt;{ key, offsets: PlacementOffsets }&gt;, spacingMm }): { placed: Array&lt;{ key, x, y }&gt;, unplaced: key[] }</t>
  </si>
  <si>
    <t xml:space="preserve">Bed 100x100 center 0, two 30x30 items spacing 5: first at (0,0), second at nearest ring cell (e.g. (-35,-35) order per sort stability); blocker at center pushes first item off-centre; item 120 wide -&gt; unplaced.</t>
  </si>
  <si>
    <t xml:space="preserve">No (bed, blockers, pending passed in)</t>
  </si>
  <si>
    <t xml:space="preserve">duplicate-with-transforms</t>
  </si>
  <si>
    <t xml:space="preserve">duplicateModelWithTransforms</t>
  </si>
  <si>
    <t xml:space="preserve">Makes N copies of one model at given transforms, copying its supports onto each copy, optionally moving the source to a new transform (with its supports), puts source and copies in one group (creates a group if the source had none), selects them, records one undo step (optionally including plates added just before).</t>
  </si>
  <si>
    <t xml:space="preserve">useSceneCollectionManager.ts:5588-5719</t>
  </si>
  <si>
    <t xml:space="preserve">Reads: models (render state), activeModelId, selectedModelIds, support store (captureModelSupportsToClipboard), platesRef/activePlateIdRef (only when options.platesBefore given)
Writes: models (source group+transform, appended copies), support store (transformSupportsForModel for source, pasteModelSupports for copies), activeModelId=first copy, selectedModelIds=[source,...copies], history</t>
  </si>
  <si>
    <t xml:space="preserve">Mixed — the rule (new model records: name 'X Copy n', groupId/groupName inheritance, linkGroupId/isSupportGeometry/color/visible copied, meshModifiers dropped, no plateId set) is ~30 lines; the rest is THREE clone, shared geometry, support store batch, setState, history.</t>
  </si>
  <si>
    <t xml:space="preserve">duplicatedModelName (modelCopyNames.ts), captureModelSupportsToClipboard + pasteModelSupports + transformSupportsForModel (supportClipboard / supports), transformsEqual</t>
  </si>
  <si>
    <t xml:space="preserve">Partial — `scene duplicate --id --count --offset`: JSON deep copy at fixed offsets, names '(i)' not 'Copy i', copies plateId/meshModifiers/sourcePath/classification verbatim, no grouping, no support copy, no source move, and the copy's mesh ref points at an embedded chunk the writer does not have bytes for (LOADED_MESH_BYTES is keyed by the old id) — see notes.</t>
  </si>
  <si>
    <t xml:space="preserve">pushSceneSnapshotHistory(before, after, duplicateModelLabel(name) | duplicateModelsLabel(n)); includeSupportState:true; plates included only when options.platesBefore passed. Supports pasted with recordHistory:false.</t>
  </si>
  <si>
    <t xml:space="preserve">src/features/scene/arrange/useArrangeManager.ts x2 (handleConfirmDuplicate ~1755 duplicate panel; handleFillPlateDuplicate ~1894 fill-plate)</t>
  </si>
  <si>
    <t xml:space="preserve">Med — — the CLI mesh-ref claim is from reading toBuildInput + codec-v2 (copy's id has no LOADED_MESH_BYTES entry, writer keeps the copied embedded-chunk ref, reader resolves chunk by the copy's own index); not run, no node_modules in /root/df. Confirm with a round-trip.</t>
  </si>
  <si>
    <t xml:space="preserve">Copies get no plateId: membership is re-derived from position; with ghost beds the caller adds plates first. Geometry shared by reference (shared:true). Support copy depends on live store. Groups (groupId/groupName) are in-memory only — not in VoxlModelEntry, CLI stores groups in extensions.groups: two different group models.</t>
  </si>
  <si>
    <t xml:space="preserve">planDuplicates({ source: { id, name, groupId?, groupName?, linkGroupId?, isSupportGeometry?, color, visible }, transforms: PlainTransform[], newIds: string[], newGroupId: string, copyName:(n)=&gt;string }): { copies: Array&lt;{ id, name, groupId, groupName, transform, ... }&gt;, sourcePatch: { groupId, groupName, transform? } }</t>
  </si>
  <si>
    <t xml:space="preserve">Source with no group: copies and source share a new groupId, groupName=source.name; source with group keeps it; meshModifiers undefined on copies; linkGroupId propagated; selection [source,...copies]; supports count on each copy equals source; one undo removes copies and restores source transform+supports; with platesBefore, undo also removes beds.</t>
  </si>
  <si>
    <t xml:space="preserve">No — sourceId and transforms are explicit. platesAfter defaults to the hook's live plates.</t>
  </si>
  <si>
    <t xml:space="preserve">duplicate-arrange</t>
  </si>
  <si>
    <t xml:space="preserve">plugin-import-arrange</t>
  </si>
  <si>
    <t xml:space="preserve">handleImportPluginSceneFile: arrangeImportedModels (inner closure)</t>
  </si>
  <si>
    <t xml:space="preserve">When the user chose auto-arrange: measures each new model's footprint plus its raft overhang (as-is and turned 90 deg), shelf-packs them into each existing plate in order, then opens new plates for the spill (an oversize model gets its own plate, centred), reserves the plates in one call, converts plate-local seats to world XY, then moves models and their supports.</t>
  </si>
  <si>
    <t xml:space="preserve">useSceneCollectionManager.ts:6032-6220</t>
  </si>
  <si>
    <t xml:space="preserve">Reads: view3dSettings width/depth/origin, platesRef, plateOffsetForRef, estimateRaftBoundsForModel (support store), model geometry
Writes: models (setModels transforms), model.transform mutated in place on newModels, plates (addPlatesRef.current(n)), support store (transformSupportsForModel in a batch)</t>
  </si>
  <si>
    <t xml:space="preserve">Mixed — ~120 lines of pure planning (shelfPack per bed, spill, seat resolution); THREE footprint projection; refs for plate offsets; in-place mutation of model objects.</t>
  </si>
  <si>
    <t xml:space="preserve">shelfPack, computeProjectedFootprintSize, plateLocalRect, estimateRaftBoundsForModel, addPlatesRef/plateOffsetForRef (plate layout)</t>
  </si>
  <si>
    <t xml:space="preserve">Partial — `scene arrange` uses highPrecisionArrange on one plate; no shelf-pack, no spill into new plates, no raft reach.</t>
  </si>
  <si>
    <t xml:space="preserve">None (part of the un-undoable import)</t>
  </si>
  <si>
    <t xml:space="preserve">internal: handleImportPluginSceneFile (after supports applied in rAF, or immediately)</t>
  </si>
  <si>
    <t xml:space="preserve">Needs footprint sizes as data (pre-computed from THREE); plate offsets depend on plate count after adding (grid re-lays), which the code already handles by planning first then resolving — good shape for a pure fn. MAX_IMPORT_PLATES=32 guard.</t>
  </si>
  <si>
    <t xml:space="preserve">planShelfImportArrange({ items: Array&lt;{ id, width, depth, turnedWidth, turnedDepth, rotationZ }&gt;, existingPlateIds: string[], bed:{widthMm,depthMm}, spacingMm, maxNewPlates }): { seatsByPlate: Array&lt;{ plateRef: {existing:string}|{newIndex:number}, seats: Array&lt;{id,x,y,rotationZ}&gt; }&gt;, newPlateCount: number }</t>
  </si>
  <si>
    <t xml:space="preserve">5 items each 60% of bed width, 2 existing plates -&gt; 2 on plate1, 2 on plate2, 1 new plate; an item larger than the bed in both poses -&gt; its own new plate at bed centre; zero moves -&gt; no setModels call.</t>
  </si>
  <si>
    <t xml:space="preserve">addPlatesRef/plateOffsetForRef are refs filled later in the hook (plate section) — ordering dependency inside the hook.</t>
  </si>
  <si>
    <t xml:space="preserve">Packs into every existing plate starting with the first, regardless of active plate; bed size from current printer.</t>
  </si>
  <si>
    <t xml:space="preserve">voxl-load-offbed-placement</t>
  </si>
  <si>
    <t xml:space="preserve">handleImportVoxlFile: off-bed check, placement prompt, free-spot arrange</t>
  </si>
  <si>
    <t xml:space="preserve">Lays out the file's beds (or the scene's, if the file has none) with the current bed size and ordering, counts models whose footprint stands on none of them, and if any asks 'load as is / auto-arrange'; auto-arrange puts every imported model into free spots on the ACTIVE plate.</t>
  </si>
  <si>
    <t xml:space="preserve">useSceneCollectionManager.ts:6670-6719</t>
  </si>
  <si>
    <t xml:space="preserve">Reads: view3dSettings, plateOrderingRef, platesRef, model geometry footprints
Writes: importedModels positions (local)</t>
  </si>
  <si>
    <t xml:space="preserve">Mixed — bed rect computation + off-bed filter is pure given footprints; footprint needs THREE geometry; prompt is awaited.</t>
  </si>
  <si>
    <t xml:space="preserve">plateCascadeOffsetMm, plateLocalRect, rectStandsOnAnyBed (plates/plateInteractivity), modelFootprintRect, findFreeSpotCentersForModels</t>
  </si>
  <si>
    <t xml:space="preserve">internal: handleImportVoxlFile</t>
  </si>
  <si>
    <t xml:space="preserve">Med — — confirm intended behaviour of auto-arrange for a multi-plate file</t>
  </si>
  <si>
    <t xml:space="preserve">Prompt await; footprint from THREE geometry; auto-arrange of a multi-plate file collapses everything onto one plate (suspicious).</t>
  </si>
  <si>
    <t xml:space="preserve">findOffBedModels({ footprints: Array&lt;{ id, rect: Rect2D }&gt;, plateCount: number, bed: {widthMm,depthMm,originMode}, ordering }): string[]</t>
  </si>
  <si>
    <t xml:space="preserve">Model on plate 2 of a 2-plate file -&gt; not off-bed; model 5mm past last bed's edge -&gt; off-bed; file without plates + scene with 3 plates -&gt; uses scene's 3 beds.</t>
  </si>
  <si>
    <t xml:space="preserve">Free-spot arrange targets the active plate (activePlateRect), even for a multi-plate file whose plates have just been adopted.</t>
  </si>
  <si>
    <t xml:space="preserve">transforms-equal</t>
  </si>
  <si>
    <t xml:space="preserve">transformsEqual</t>
  </si>
  <si>
    <t xml:space="preserve">Tolerance test (1e-5, squared distance for position/scale, abs per Euler axis) for whether two model transforms are the same; used to skip no-op history entries and support moves.</t>
  </si>
  <si>
    <t xml:space="preserve">Transform</t>
  </si>
  <si>
    <t xml:space="preserve">useSceneCollectionManager.ts:361-368</t>
  </si>
  <si>
    <t xml:space="preserve">Mostly pure — but typed on THREE Vector3/Euler methods (distanceToSquared).</t>
  </si>
  <si>
    <t xml:space="preserve">None (gates whether history is pushed)</t>
  </si>
  <si>
    <t xml:space="preserve">internal: 3136, 3247, 3330, 3460, 5659, 6234, 6797</t>
  </si>
  <si>
    <t xml:space="preserve">Uses THREE methods; easy to restate on {x,y,z}.</t>
  </si>
  <si>
    <t xml:space="preserve">transformsEqual({ a: PlainTransform, b: PlainTransform, epsilon? }): boolean</t>
  </si>
  <si>
    <t xml:space="preserve">Equal within 1e-5 -&gt; true; position differing by 0.004 mm (sq 1.6e-5) -&gt; false; rotation compared per axis without wrap (0 vs 2pi -&gt; false).</t>
  </si>
  <si>
    <t xml:space="preserve">transform</t>
  </si>
  <si>
    <t xml:space="preserve">supports-for-models</t>
  </si>
  <si>
    <t xml:space="preserve">hasSupportsForModel, supportStateFor</t>
  </si>
  <si>
    <t xml:space="preserve">Whether any support entity references a model id; and the whole support store when any of the given models has supports (for deciding if a snapshot must carry support state).</t>
  </si>
  <si>
    <t xml:space="preserve">useSceneCollectionManager.ts:483-486, 503-506</t>
  </si>
  <si>
    <t xml:space="preserve">Reads: support store getSnapshot()
Writes: None</t>
  </si>
  <si>
    <t xml:space="preserve">Mixed — logic is a lookup but supportStateFor reads the global store.</t>
  </si>
  <si>
    <t xml:space="preserve">getSupportsForModel (SupportModelLinker)</t>
  </si>
  <si>
    <t xml:space="preserve">Decides whether history entries include support state.</t>
  </si>
  <si>
    <t xml:space="preserve">internal: hasSupportsForModel 3297, 3345, 3442, 3608 (+ a shadowing local at 4911); supportStateFor 7711, 7811</t>
  </si>
  <si>
    <t xml:space="preserve">Global store read; pass supportState in.</t>
  </si>
  <si>
    <t xml:space="preserve">modelsWithSupports({ supports: SupportStateLike, modelIds: string[] }): string[]</t>
  </si>
  <si>
    <t xml:space="preserve">A model with only a knot/kickstand counts; a model with none -&gt; false; empty model list -&gt; undefined.</t>
  </si>
  <si>
    <t xml:space="preserve">No (ids given), but reads global support store</t>
  </si>
  <si>
    <t xml:space="preserve">set-model-transform-raw</t>
  </si>
  <si>
    <t xml:space="preserve">setModelTransformRaw</t>
  </si>
  <si>
    <t xml:space="preserve">Sets one model's transform without moving its supports or pushing history; re-resolves which plate it stands on (withPlateMembership) and, if that plate changed and 'follow landed plate' is on, makes it the active plate.</t>
  </si>
  <si>
    <t xml:space="preserve">useSceneCollectionManager.ts:3073-3089</t>
  </si>
  <si>
    <t xml:space="preserve">Reads: modelsRef, plateFramesRef, followLandedPlateRef
Writes: setModels (one model's transform + plateId), setActivePlateId</t>
  </si>
  <si>
    <t xml:space="preserve">Mostly pure — plate resolution and follow decision are pure (plateLayout); setState is plumbing. Does not use followedPlateIdForMove, which updateModelTransform uses for the same decision</t>
  </si>
  <si>
    <t xml:space="preserve">resolveModelPlateId, withPlateMembership (plates/plateLayout.ts)</t>
  </si>
  <si>
    <t xml:space="preserve">Partial — scene transform-model writes position/rotation/scale directly and does not re-resolve plateId (so a model moved to plate 2 keeps plateId of plate 1)</t>
  </si>
  <si>
    <t xml:space="preserve">None — caller (mirror) records history itself via replaceModelGeometry with historyBefore</t>
  </si>
  <si>
    <t xml:space="preserve">src/features/mirror/useMirrorManager.ts (381, live mirror preview)</t>
  </si>
  <si>
    <t xml:space="preserve">Close to extractable now: compose withPlateMembership + a follow rule. Ignores the plate lock (updateModelTransform checks it at 3116). Restates the follow rule instead of calling followedPlateIdForMove — candidate to unify.</t>
  </si>
  <si>
    <t xml:space="preserve">setModelTransform({ model: PlateMember &amp; { id }; transform: { position: {x,y,z}; rotation; scale }; frames: PlateFrame[]; followLandedPlate: boolean; activePlateId: string }) =&gt; { model: same type with transform + plateId; activePlateId: string }</t>
  </si>
  <si>
    <t xml:space="preserve">Move model from plate A frame into B frame with follow on -&gt; plateId B, active B; follow off -&gt; plateId B, active unchanged; position outside all frames -&gt; keeps stored plateId; unknown id -&gt; no change. Parity: CLI transform-model on same input should yield same plateId (fails today).</t>
  </si>
  <si>
    <t xml:space="preserve">followLandedPlateRef mirrors multiPlateSettings (Multi-Plate preferences)</t>
  </si>
  <si>
    <t xml:space="preserve">No — takes id; reads multi-plate setting from a ref</t>
  </si>
  <si>
    <t xml:space="preserve">update-model-transform</t>
  </si>
  <si>
    <t xml:space="preserve">updateModelTransform</t>
  </si>
  <si>
    <t xml:space="preserve">Writes one model's new transform (every drag, gizmo, panel edit, nudge ends here). Refuses if the model's plate or its landing plate is locked; moves the model's supports; propagates the delta to linked peers; restamps plateId; may switch the active plate to where it landed and re-frame the camera. Returns {updated, supportsChanged, kickstandsChanged}. No history (caller commits separately).</t>
  </si>
  <si>
    <t xml:space="preserve">useSceneCollectionManager.ts:3091-3231</t>
  </si>
  <si>
    <t xml:space="preserve">Reads: modelsRef, lockedPlateIdsRef (via isModelPlateLocked), plateFramesRef, followLandedPlateRef (Multi-Plate setting), activePlateIdRef, onBlockedByLockRef, support store (transformSupportsForModel)
Writes: models (transform+plateId of target and link peers), support store (roots/trunks/knots/kickstands moved; all supports reassigned to this id if scene has one model and an override was passed), activePlateId, plateViewRunId</t>
  </si>
  <si>
    <t xml:space="preserve">Mixed — real rules: lock check, equality short-circuit, link-peer delta, plate resolution, follow-plate decision (already pure: followedPlateIdForMove, withPlateMembership). Plumbing: refs, setModels/setActivePlateId/setPlateViewRunId, side-effecting support store calls inside.</t>
  </si>
  <si>
    <t xml:space="preserve">plates/plateLayout.ts (resolveModelPlateId, withPlateMembership), plates/plateInteractivity.ts (followedPlateIdForMove), supports/state.ts (transformSupportsForModel, transformAllSupportsForSingleModel, reassignAllSupportModelIds), utils/rotation (eulerFromGlobalEuler), module transformsEqual</t>
  </si>
  <si>
    <t xml:space="preserve">Partial — `scene transform-model` overwrites position/rotation/scale on the VOXL entry by hand: no link-peer propagation, supports NOT moved, plateId not re-resolved, no equality/finite check, no follow-plate. Lock is session-only so n/a to CLI.</t>
  </si>
  <si>
    <t xml:space="preserve">None here; caller pushes via commitModelTransformHistory (page.tsx transform-end flush).</t>
  </si>
  <si>
    <t xml:space="preserve">src/app/page.tsx:2477 (apply orientation suggestion), :6615/:6711/:6761 (non-finite auto-recovery &amp; transform sync), :8599 (gizmo transform end)</t>
  </si>
  <si>
    <t xml:space="preserve">Transforms are THREE.Vector3/Euler (clone/sub/add); support movement is a mutable module store, not a return value; plate follow + camera re-frame are UI. Needs a pure 'planTransform' that returns per-model transforms+plateIds+support delta list; manager then calls support store.</t>
  </si>
  <si>
    <t xml:space="preserve">planModelTransform({ models: {id, transform:{position,rotation,scale}, linkGroupId?, plateId?}[], targetId, nextTransform, beforeTransform?, frames: PlateFrame[], lockedPlateIds: string[], landedPlateId? }): { refused?: { plateId }, updates: {id, transform, plateId}[], landedPlateIds: string[] }</t>
  </si>
  <si>
    <t xml:space="preserve">(a) id missing -&gt; updated:false; (b) equal within 1e-5 -&gt; updated:false, no support change; (c) linked pair A,B: move A by (+5,0,0), rot +0.1 x, scale +0.5 -&gt; B gets same additive deltas; (d) model on plate 1 dragged into plate 2 frame -&gt; plateId=plate2, active plate follows only when followLandedPlate; (e) locked source or target plate -&gt; refused with that plate id; (f) single-model scene with override -&gt; all supports reassigned to id.</t>
  </si>
  <si>
    <t xml:space="preserve">onBlockedByLock callback from page.tsx (toast); plateViewRunId consumed by camera framing in SceneCanvas</t>
  </si>
  <si>
    <t xml:space="preserve">No for the model (explicit id). Implicit: lock set, Multi-Plate follow setting, active plate; previousTransformOverride + single-model scene triggers 'reassign ALL supports to this model' (context-dependent).</t>
  </si>
  <si>
    <t xml:space="preserve">transform-plate-lock-guard</t>
  </si>
  <si>
    <t xml:space="preserve">(inline guard) isModelPlateLocked / lockedPlateIdFor used by updateModelTransform &amp; updateModelTransforms</t>
  </si>
  <si>
    <t xml:space="preserve">Refuses a transform if the model's current plate OR the plate it would land on is locked, and reports which locked plate via onBlockedByLock. Lock state itself (lockedPlateIds) is session-only, not saved (lines 1503-1512); helpers at 1540-1572.</t>
  </si>
  <si>
    <t xml:space="preserve">useSceneCollectionManager.ts:3111-3122, 3374-3392 (helpers 1540-1572)</t>
  </si>
  <si>
    <t xml:space="preserve">Reads: lockedPlateIdsRef, plateFramesRef
Writes: none (calls onBlockedByLockRef)</t>
  </si>
  <si>
    <t xml:space="preserve">Mostly pure — a membership test on resolveModelPlateId; plumbing is the ref and the callback.</t>
  </si>
  <si>
    <t xml:space="preserve">None — lock is not a document field, CLI has no notion of it (arguably correct).</t>
  </si>
  <si>
    <t xml:space="preserve">internal: updateModelTransform, updateModelTransforms; also page.tsx:9250-9276 duplicates a pre-check at handleTransformStart (active+selected ids)</t>
  </si>
  <si>
    <t xml:space="preserve">Trivial to extract; the page.tsx pre-check is a second copy with different targets (active+selection only, not landing plate).</t>
  </si>
  <si>
    <t xml:space="preserve">findLockedMove({ updates: {id, transform}[], models: {id, transform, plateId?}[], frames: PlateFrame[], lockedPlateIds: string[] }): { modelId, plateId } | null</t>
  </si>
  <si>
    <t xml:space="preserve">Model on unlocked plate1 moved into locked plate2 -&gt; refused, reports plate2; model on locked plate1 moved anywhere -&gt; refused, reports plate1; no locks -&gt; null; batch with one locked entry refuses the whole batch.</t>
  </si>
  <si>
    <t xml:space="preserve">onBlockedByLock passed from page.tsx options (notifyPlateLocked toast)</t>
  </si>
  <si>
    <t xml:space="preserve">No (explicit model) but reads session lock set</t>
  </si>
  <si>
    <t xml:space="preserve">transform-link-peer-propagation</t>
  </si>
  <si>
    <t xml:space="preserve">(inline rule in updateModelTransform / updateModelTransforms / commitModelTransformHistory)</t>
  </si>
  <si>
    <t xml:space="preserve">Linked models (same linkGroupId) receive the leader's delta: position delta added, Euler x/y/z deltas ADDED component-wise, scale delta ADDED (not multiplied). Restated three times; the commit-history copy subtracts the delta to rebuild peers' before-state. A test (voxl/__tests__/linkGroupTransformPropagation.test.ts) re-implements it rather than importing it.</t>
  </si>
  <si>
    <t xml:space="preserve">useSceneCollectionManager.ts:3164-3193, 3408-3438, 3256-3281</t>
  </si>
  <si>
    <t xml:space="preserve">Reads: modelsRef (linkGroupId, transforms)
Writes: peer transforms (via callers)</t>
  </si>
  <si>
    <t xml:space="preserve">Mostly pure — pure arithmetic over THREE vectors; duplicated inline.</t>
  </si>
  <si>
    <t xml:space="preserve">None (the test file holds a copy: applySymmetricTransformUpdate)</t>
  </si>
  <si>
    <t xml:space="preserve">None — no CLI command moves link peers; transform-model edits one entry only.</t>
  </si>
  <si>
    <t xml:space="preserve">Via callers</t>
  </si>
  <si>
    <t xml:space="preserve">internal: updateModelTransform, updateModelTransforms, commitModelTransformHistory</t>
  </si>
  <si>
    <t xml:space="preserve">Easy to lift; only THREE math. Additive Euler deltas are not a true rigid rotation of the group (peers rotate in place, positions do not orbit) — decide whether to keep as-is for parity.</t>
  </si>
  <si>
    <t xml:space="preserve">propagateLinkedTransforms({ models: {id, linkGroupId?, transform}[], updates: {id, before, after}[] }): {id, transform}[]  // peers not already in updates</t>
  </si>
  <si>
    <t xml:space="preserve">Pin existing additive semantics: peer at (10,0,0) rot (0,0,0) scale 1; leader moves (0,0,0)-&gt;(5,0,0), rot z 0-&gt;0.5, scale 1-&gt;2 =&gt; peer (15,0,0), rot z 0.5, scale 2. Peer already in updates is not overwritten. Inverse used in commit history returns original peer.</t>
  </si>
  <si>
    <t xml:space="preserve">No (explicit leader id; peers derived from linkGroupId)</t>
  </si>
  <si>
    <t xml:space="preserve">commit-model-transform-history</t>
  </si>
  <si>
    <t xml:space="preserve">commitModelTransformHistory</t>
  </si>
  <si>
    <t xml:space="preserve">Pushes one undo step for a single-model transform already applied: rebuilds before-models (target at beforeTransform, link peers un-shifted by the delta), after-models (target at afterTransform), includes support state if asked or if the model has supports, optionally includes plates when the gesture spawned a new plate.</t>
  </si>
  <si>
    <t xml:space="preserve">useSceneCollectionManager.ts:3233-3316</t>
  </si>
  <si>
    <t xml:space="preserve">Reads: modelsRef, activeModelIdRef, selectedModelIdsRef, platesRef, activePlateIdRef, support store getSnapshot()
Writes: history stack (sceneHistory via pushSceneSnapshotHistory) + sceneSnapshotRegistry</t>
  </si>
  <si>
    <t xml:space="preserve">Mixed — snapshot assembly is pure-ish data shaping; history push and registry are module stores.</t>
  </si>
  <si>
    <t xml:space="preserve">captureSceneSnapshot (module fn 441), pushSceneSnapshotHistory, sceneHistoryLabels.transformModelLabel</t>
  </si>
  <si>
    <t xml:space="preserve">None — CLI has no history (n/a).</t>
  </si>
  <si>
    <t xml:space="preserve">Snapshot pair, SCENE_MODELS_SNAPSHOT_APPLY, label transformModelLabel(name) or caller description (e.g. APPLY_ORIENTATION_SUGGESTION_LABEL)</t>
  </si>
  <si>
    <t xml:space="preserve">src/app/page.tsx:2478 (orientation suggestion), :5890 (pending transform flush)</t>
  </si>
  <si>
    <t xml:space="preserve">Med — — check whether a stale plateId in the before-snapshot ever matters on undo across plates</t>
  </si>
  <si>
    <t xml:space="preserve">Undo core; stays in the manager per ADR (functions return data, manager pushes history). Note afterModels keeps peers at current transform but beforeModels peers are reconstructed; plateId on before-target is the post-move plateId (snapshot apply re-derives position first, so mostly harmless).</t>
  </si>
  <si>
    <t xml:space="preserve">n/a (history plumbing) — could use a pure buildTransformHistoryModels({ models, id, before, after }) shared with link propagation</t>
  </si>
  <si>
    <t xml:space="preserve">Move linked A (+5x), commit; undo -&gt; A and peer B both back; with supports -&gt; supports restored; with plateSpawn -&gt; undo removes the spawned plate and restores activePlateId; equal transforms -&gt; returns false and pushes nothing.</t>
  </si>
  <si>
    <t xml:space="preserve">page.tsx pending-transform-history refs (pendingTransformHistoryRef) decide when this is called</t>
  </si>
  <si>
    <t xml:space="preserve">No for model; snapshot captures current active/selection (by design, for restore).</t>
  </si>
  <si>
    <t xml:space="preserve">commit-model-transforms-history</t>
  </si>
  <si>
    <t xml:space="preserve">commitModelTransformsHistory</t>
  </si>
  <si>
    <t xml:space="preserve">Pushes one undo step for a multi-model edit already applied live (panel typing / selection move with pushHistory:false): before = current models with given before-transforms, after = current models. Includes support state if requested or any changed model has supports.</t>
  </si>
  <si>
    <t xml:space="preserve">useSceneCollectionManager.ts:3318-3358</t>
  </si>
  <si>
    <t xml:space="preserve">Reads: modelsRef, activeModelIdRef, selectedModelIdsRef, support getSnapshot()
Writes: history stack</t>
  </si>
  <si>
    <t xml:space="preserve">Mixed — tiny diff (changedIds) is pure; rest is history plumbing.</t>
  </si>
  <si>
    <t xml:space="preserve">captureSceneSnapshot, transformModelsLabel</t>
  </si>
  <si>
    <t xml:space="preserve">None — n/a (no history).</t>
  </si>
  <si>
    <t xml:space="preserve">Snapshot pair, label transformModelsLabel(count) or selectionEditLabel from caller</t>
  </si>
  <si>
    <t xml:space="preserve">src/app/page.tsx:8927 (commitPendingSelectionPositionHistory)</t>
  </si>
  <si>
    <t xml:space="preserve">Does not include plates (unlike the single-model variant) — a multi-model move that spawned a plate cannot undo the plate in one step. Label uses beforeTransforms.length, not changedIds.length.</t>
  </si>
  <si>
    <t xml:space="preserve">n/a (history plumbing)</t>
  </si>
  <si>
    <t xml:space="preserve">Two models moved live with pushHistory:false, then commit -&gt; one undo restores both; unchanged entries ignored; no change -&gt; false.</t>
  </si>
  <si>
    <t xml:space="preserve">No (explicit before list)</t>
  </si>
  <si>
    <t xml:space="preserve">update-model-transforms</t>
  </si>
  <si>
    <t xml:space="preserve">updateModelTransforms</t>
  </si>
  <si>
    <t xml:space="preserve">Batch transform write (selection move/rotate/scale, lift/drop, center, arrange). Refuses whole batch on any locked source/landing plate; adds link peers; moves each model's supports; restamps plateIds; follows the plate if the moved set lands on exactly one; pushes ONE snapshot history step unless pushHistory:false (then also writes modelsRef synchronously). Optional platesBefore/After folds newly added plates into the step.</t>
  </si>
  <si>
    <t xml:space="preserve">useSceneCollectionManager.ts:3360-3525</t>
  </si>
  <si>
    <t xml:space="preserve">Reads: modelsRef, activeModelIdRef, selectedModelIdsRef, lockedPlateIdsRef, plateFramesRef, followLandedPlateRef, activePlateIdRef, platesRef, support getSnapshot()
Writes: models, modelsRef (when pushHistory false), support store, activePlateId, plateViewRunId, history</t>
  </si>
  <si>
    <t xml:space="preserve">Mixed — same rule set as updateModelTransform (lock, link, plate membership, follow) with different details; history and refs are plumbing.</t>
  </si>
  <si>
    <t xml:space="preserve">plateLayout.withPlateMembership, plateInteractivity.followedPlateIdForMove, supports/state.transformSupportsForModel. Callers compute updates with selectionPosition.ts / selectionTransform.ts / selectionLiftDrop.ts / arrange/highPrecisionArrange.</t>
  </si>
  <si>
    <t xml:space="preserve">Partial — `scene arrange` uses the same algorithm but writes position/rotation directly (supports not moved, no plateId restamp); `center-xy` sets x=y=0 (app: plate centre, multi-select keeps relative layout, and 'front_left' origin uses width/2,depth/2); `place-on-platform` sets z=-rawMinZ (app: lowest world Z after rotation/scale/bbox-centre, to liftDistance when Auto Lift on, skipping manualZMoveOverride). None move supports, link peers or plateId.</t>
  </si>
  <si>
    <t xml:space="preserve">Snapshot pair (support state included if any updated model has supports; plates when platesBefore given), label transformModelsLabel(updates.length)</t>
  </si>
  <si>
    <t xml:space="preserve">src/app/page.tsx:8892 (gizmo group commit), :8945 (applySelectionPositionUpdates), :9201 (placeSelectedModelsAtWorldZ = lift/drop); src/features/scene/arrange/useArrangeManager.ts:605</t>
  </si>
  <si>
    <t xml:space="preserve">Differs from updateModelTransform: peer delta computed against current transform (no override), no landedPlateId option, no single-model 'reassign all supports' path, follow uses stamped plateIds. Unify into one planner. Support moves are imperative store calls.</t>
  </si>
  <si>
    <t xml:space="preserve">planModelTransforms({ models, updates: {id, transform}[], frames, lockedPlateIds, followLandedPlate }): { refused?: {modelId, plateId}, updates: {id, transform, plateId}[], supportDeltas: {modelId, before, after}[], followPlateId: string|null }</t>
  </si>
  <si>
    <t xml:space="preserve">Batch of 2 incl. a linked model -&gt; peers added once; peer explicitly in batch keeps its own value; all-equal -&gt; updated:false no history; pushHistory:false -&gt; no history, modelsRef updated synchronously; locked -&gt; nothing written; platesBefore -&gt; undo removes added plates. Parity: CLI center-xy/place-on-platform vs buildCenterSelectionUpdates/buildLiftDropUpdates on a rotated, scaled, off-centre mesh.</t>
  </si>
  <si>
    <t xml:space="preserve">useArrangeManager passes platesBefore/After when arrange adds beds</t>
  </si>
  <si>
    <t xml:space="preserve">No for models (explicit updates); reads lock set, follow setting, active plate.</t>
  </si>
  <si>
    <t xml:space="preserve">scene-import-placement-prompt</t>
  </si>
  <si>
    <t xml:space="preserve">sceneImportPlacementPrompt, requestSceneImportPlacementChoice, resolveSceneImportPlacementPrompt, sceneImportPlacementResolveRef</t>
  </si>
  <si>
    <t xml:space="preserve">Async prompt: an import whose models stand off every bed asks 'auto-arrange or load as is'. request sets the prompt and returns a promise resolved by resolve; a stale pending prompt is resolved 'load_as_is'; headless (no window) answers 'auto_arrange'.</t>
  </si>
  <si>
    <t xml:space="preserve">Import / VOXL open</t>
  </si>
  <si>
    <t xml:space="preserve">useSceneCollectionManager.ts:1168-1175, 1612, 1625, 1745-1750, 1784-1802</t>
  </si>
  <si>
    <t xml:space="preserve">Reads: sceneImportPlacementResolveRef
Writes: sceneImportPlacementPrompt, resolver ref</t>
  </si>
  <si>
    <t xml:space="preserve">Mostly React — promise-in-a-ref pattern; the decision input (off-plate count) is computed by callers.</t>
  </si>
  <si>
    <t xml:space="preserve">None — CLI load never re-places models.</t>
  </si>
  <si>
    <t xml:space="preserve">request internal: 5935 (plugin import), 6702 (VOXL import); state/resolve: SceneFileModals.tsx, page.tsx (7 each)</t>
  </si>
  <si>
    <t xml:space="preserve">Awaits a user mid-import. Headless default differs from stale-default ('auto_arrange' vs 'load_as_is').</t>
  </si>
  <si>
    <t xml:space="preserve">Split import into planSceneImport(...) -&gt; { offPlateModelIds, needs: ['placement'] } and applySceneImport({ ..., placement: 'auto_arrange'|'load_as_is' })</t>
  </si>
  <si>
    <t xml:space="preserve">Two overlapping imports: first resolves 'load_as_is'; unmount resolves 'load_as_is'; window undefined -&gt; 'auto_arrange'.</t>
  </si>
  <si>
    <t xml:space="preserve">prompts-reports</t>
  </si>
  <si>
    <t xml:space="preserve">scene-import-hollowing-prompt</t>
  </si>
  <si>
    <t xml:space="preserve">sceneImportHollowingPrompt, requestSceneImportHollowingChoice, resolveSceneImportHollowingPrompt, sceneImportHollowingResolveRef</t>
  </si>
  <si>
    <t xml:space="preserve">Async prompt for pre-hollowed plugin imports: bake the cavity into the shell, or keep solid. Headless and stale-prompt default is 'bake'.</t>
  </si>
  <si>
    <t xml:space="preserve">useSceneCollectionManager.ts:1177-1184, 1615, 1626, 1752-1757, 1804-1823</t>
  </si>
  <si>
    <t xml:space="preserve">Reads: sceneImportHollowingResolveRef
Writes: sceneImportHollowingPrompt, resolver ref</t>
  </si>
  <si>
    <t xml:space="preserve">Mostly React — promise-in-a-ref.</t>
  </si>
  <si>
    <t xml:space="preserve">request internal: 5803 (handleImportPluginSceneFile); SceneFileModals.tsx (prompt x6, resolve x5)</t>
  </si>
  <si>
    <t xml:space="preserve">Awaits user; choice changes sliced geometry (merged cavity).</t>
  </si>
  <si>
    <t xml:space="preserve">Pass hollowing: 'bake'|'keep_solid' into the plugin import function as a parameter</t>
  </si>
  <si>
    <t xml:space="preserve">No window -&gt; 'bake'; second request resolves first with 'bake'; unmount -&gt; 'bake'.</t>
  </si>
  <si>
    <t xml:space="preserve">merge-cavity-into-shell</t>
  </si>
  <si>
    <t xml:space="preserve">mergeCavityIntoShell, readPayloadCavity, geometryPositionsAsSoup</t>
  </si>
  <si>
    <t xml:space="preserve">For pre-hollowed imports (Lychee), decodes the hollowing modifier's base64 cavity positions (validated against cavityPositionCount) and concatenates them with the shell triangle soup into one geometry.</t>
  </si>
  <si>
    <t xml:space="preserve">useSceneCollectionManager.ts:1197-1260</t>
  </si>
  <si>
    <t xml:space="preserve">Reads: payload.meshModifiers.hollowing
Writes: None (returns new geometry)</t>
  </si>
  <si>
    <t xml:space="preserve">Mixed — decode and concatenation are pure Float32Array work; result wrapped in THREE.BufferGeometry.</t>
  </si>
  <si>
    <t xml:space="preserve">base64ToBytes</t>
  </si>
  <si>
    <t xml:space="preserve">internal: 5799, 5832-5842 (handleImportPluginSceneFile, after hollowing prompt)</t>
  </si>
  <si>
    <t xml:space="preserve">THREE wrapper only at the edge; changes sliced geometry.</t>
  </si>
  <si>
    <t xml:space="preserve">mergeCavityPositions({ shellPositions: Float32Array, cavityPositions: Float32Array }): Float32Array; readCavityPositions({ hollowing }): Float32Array | null</t>
  </si>
  <si>
    <t xml:space="preserve">Indexed shell expands to soup; cavity byteLength not /4 -&gt; null; count mismatch -&gt; null; disabled hollowing -&gt; null; merged length = shell+cavity.</t>
  </si>
  <si>
    <t xml:space="preserve">import</t>
  </si>
  <si>
    <t xml:space="preserve">mesh-repair-confirm-prompt</t>
  </si>
  <si>
    <t xml:space="preserve">meshRepairConfirmPrompt, requestMeshRepairConfirmation, resolveMeshRepairConfirmPrompt, meshRepairConfirmResolveRef</t>
  </si>
  <si>
    <t xml:space="preserve">Async prompt before a heavy repair on mesh import: repair / repair parts / load as is / cancel import. Headless and stale default is 'repair'.</t>
  </si>
  <si>
    <t xml:space="preserve">useSceneCollectionManager.ts:1262-1272, 1305, 1616, 1627, 1759-1782</t>
  </si>
  <si>
    <t xml:space="preserve">Reads: meshRepairConfirmResolveRef
Writes: meshRepairConfirmPrompt, resolver ref</t>
  </si>
  <si>
    <t xml:space="preserve">request internal: 2863 (loadFiles onConfirmHeavyRepair); MeshRepairModals.tsx (prompt x2, resolve x4)</t>
  </si>
  <si>
    <t xml:space="preserve">Awaits user inside the geometry pipeline callback. NOT resolved on unmount (unlike the other two prompts) -&gt; a pending import can hang if the hook unmounts.</t>
  </si>
  <si>
    <t xml:space="preserve">Pass repairPolicy: 'repair'|'repair_parts'|'load_as_is'|'cancel' into loadFiles' pure core</t>
  </si>
  <si>
    <t xml:space="preserve">Stale prompt resolved 'repair'; unmount while pending: promise never settles (pin or fix).</t>
  </si>
  <si>
    <t xml:space="preserve">printer-mismatch</t>
  </si>
  <si>
    <t xml:space="preserve">printerMismatch, setPrinterMismatch, resolvePrinterMismatch</t>
  </si>
  <si>
    <t xml:space="preserve">Prompt raised on VOXL import when the file's embedded printer bundle resolves to a profile other than the selected one (with whether the current printer is smaller). Resolve 'switch' selects the installed matching profile or imports the bundle as a new profile and selects it; 'keep' just closes.</t>
  </si>
  <si>
    <t xml:space="preserve">useSceneCollectionManager.ts:1287-1303, 1614, 1711-1718 (raised at 6766-6785)</t>
  </si>
  <si>
    <t xml:space="preserve">Reads: printerMismatch state, profile store
Writes: profile store (setActivePrinterProfile, importPrinterBundle), printerMismatch</t>
  </si>
  <si>
    <t xml:space="preserve">Mixed — the mismatch decision (findPrinterProfileForBundle, buildVolumeIsSmaller) is pure in voxlPrinterBundle.ts; applying it writes the global profile store.</t>
  </si>
  <si>
    <t xml:space="preserve">findPrinterProfileForBundle, buildVolumeIsSmaller (features/profiles/voxlPrinterBundle.ts)</t>
  </si>
  <si>
    <t xml:space="preserve">Partial — scene slice resolves the printer only from --printer/--printer-id flags; it does not read doc.meta.printer. The bundle is preserved on save (toBuildInput meta.printer).</t>
  </si>
  <si>
    <t xml:space="preserve">Not directly; the printer switch it triggers is recorded by the relayout useLayoutEffect at 7694 (switchPrinterLabel) via snapshot printerProfileId.</t>
  </si>
  <si>
    <t xml:space="preserve">SceneFileModals.tsx (printerMismatch x7, resolvePrinterMismatch x2)</t>
  </si>
  <si>
    <t xml:space="preserve">Prompt/await shape; global profile store; the switch causes a model relayout in a later layout effect (implicit chain).</t>
  </si>
  <si>
    <t xml:space="preserve">detectPrinterMismatch({ recorded: VoxlPrinterBundle | undefined, current: PrinterProfile | null, installed: PrinterProfile[] }): PrinterMismatchPrompt | null</t>
  </si>
  <si>
    <t xml:space="preserve">Bundle matching current -&gt; null; matching another installed -&gt; installedProfileId set; unknown printer -&gt; null id; recorded 218x122 vs current 153x77 -&gt; currentIsSmaller true; no current printer -&gt; no prompt.</t>
  </si>
  <si>
    <t xml:space="preserve">Switch -&gt; profile store change -&gt; activePrinterProfile memo -&gt; useLayoutEffect 7694 relayout + history entry: a hidden three-step chain.</t>
  </si>
  <si>
    <t xml:space="preserve">No (bundle carried in prompt)</t>
  </si>
  <si>
    <t xml:space="preserve">mesh-scene-extension</t>
  </si>
  <si>
    <t xml:space="preserve">getMeshExtension, getSceneExtension</t>
  </si>
  <si>
    <t xml:space="preserve">Classifies a file name: mesh (.stl/.obj/.3mf) or scene (.voxl or any built-in plugin file type flagged isSceneFile).</t>
  </si>
  <si>
    <t xml:space="preserve">useSceneCollectionManager.ts:1418-1437</t>
  </si>
  <si>
    <t xml:space="preserve">Reads: builtin plugin definitions
Writes: None</t>
  </si>
  <si>
    <t xml:space="preserve">Mostly pure — wrapped in useCallback for no reason.</t>
  </si>
  <si>
    <t xml:space="preserve">getBuiltinComplexPluginDefinitions</t>
  </si>
  <si>
    <t xml:space="preserve">Partial — CLI accepts .voxl only (and STL via add-model).</t>
  </si>
  <si>
    <t xml:space="preserve">internal: getMeshExtension 2701 (loadFiles); getSceneExtension 5739, 6871, 6881, 6887 (scene imports)</t>
  </si>
  <si>
    <t xml:space="preserve">Pure; plugin registry is static.</t>
  </si>
  <si>
    <t xml:space="preserve">classifySceneFile({ name, sceneExtensions: string[] }): { kind: 'mesh'|'scene'|null, extension }</t>
  </si>
  <si>
    <t xml:space="preserve">'A.STL ' -&gt; '.stl'; 'x.lys' -&gt; '.lys' when plugin declares it; 'x.ctb' -&gt; null.</t>
  </si>
  <si>
    <t xml:space="preserve">scene-plugin-import-handlers</t>
  </si>
  <si>
    <t xml:space="preserve">scenePluginImportHandlersByExtension</t>
  </si>
  <si>
    <t xml:space="preserve">Builds a map from scene file extension to the built-in plugin's file-type definition and import handler.</t>
  </si>
  <si>
    <t xml:space="preserve">useSceneCollectionManager.ts:1439-1463</t>
  </si>
  <si>
    <t xml:space="preserve">Reads: builtin plugin definitions/handlers
Writes: None</t>
  </si>
  <si>
    <t xml:space="preserve">Mostly pure — static registry join inside useMemo.</t>
  </si>
  <si>
    <t xml:space="preserve">getBuiltinComplexPluginFileTypeHandlers</t>
  </si>
  <si>
    <t xml:space="preserve">internal: 5748 (handleImportPluginSceneFile)</t>
  </si>
  <si>
    <t xml:space="preserve">Handlers may themselves be browser-bound.</t>
  </si>
  <si>
    <t xml:space="preserve">n/a (registry lookup)</t>
  </si>
  <si>
    <t xml:space="preserve">Plugin handler registry (builtinComplexPluginFileTypeHandlers).</t>
  </si>
  <si>
    <t xml:space="preserve">sanitize-imported-model-name</t>
  </si>
  <si>
    <t xml:space="preserve">sanitizeImportedModelDisplayName</t>
  </si>
  <si>
    <t xml:space="preserve">Strips every trailing extension from a file/object name ('a.b.stl' -&gt; 'a'), returning 'model' for empty.</t>
  </si>
  <si>
    <t xml:space="preserve">useSceneCollectionManager.ts:845-858</t>
  </si>
  <si>
    <t xml:space="preserve">Mostly pure — string rule.</t>
  </si>
  <si>
    <t xml:space="preserve">Partial — scene add-model uses basename(meshPath, '.stl') (only .stl stripped, no 'model' fallback).</t>
  </si>
  <si>
    <t xml:space="preserve">internal: 5972-5975 (plugin import), 6600 (VOXL import)</t>
  </si>
  <si>
    <t xml:space="preserve">None; pure already.</t>
  </si>
  <si>
    <t xml:space="preserve">sanitizeImportedModelDisplayName({ rawName }): string</t>
  </si>
  <si>
    <t xml:space="preserve">'part.v2.stl' -&gt; 'part'; '.stl' -&gt; '.stl' (a leading dot is not an extension); '  ' -&gt; 'model'.</t>
  </si>
  <si>
    <t xml:space="preserve">sha256-hex</t>
  </si>
  <si>
    <t xml:space="preserve">sha256Hex</t>
  </si>
  <si>
    <t xml:space="preserve">SHA-256 of bytes as hex, via WebCrypto; used to verify VOXL mesh chunks.</t>
  </si>
  <si>
    <t xml:space="preserve">useSceneCollectionManager.ts:860-874</t>
  </si>
  <si>
    <t xml:space="preserve">Reads: globalThis.crypto.subtle
Writes: None</t>
  </si>
  <si>
    <t xml:space="preserve">Mostly pure — async WebCrypto, available in Node 20.</t>
  </si>
  <si>
    <t xml:space="preserve">Partial — CLI loadVoxl goes through the shared voxl codec; whether it verifies hashes is codec-side.</t>
  </si>
  <si>
    <t xml:space="preserve">internal: 6417, 6512, 6531 (handleImportVoxlFile)</t>
  </si>
  <si>
    <t xml:space="preserve">Med — — check whether voxl codec already has an equivalent</t>
  </si>
  <si>
    <t xml:space="preserve">None; belongs in features/scene/voxl.</t>
  </si>
  <si>
    <t xml:space="preserve">sha256Hex({ bytes }): Promise&lt;string&gt;</t>
  </si>
  <si>
    <t xml:space="preserve">Known vector: 'abc' -&gt; ba7816bf...</t>
  </si>
  <si>
    <t xml:space="preserve">remap-model-ids-in-payload</t>
  </si>
  <si>
    <t xml:space="preserve">remapModelIdsInPayload</t>
  </si>
  <si>
    <t xml:space="preserve">Deep-walks any payload and rewrites every string field named 'modelId' through an id map (used when importing a VOXL whose model ids are re-minted).</t>
  </si>
  <si>
    <t xml:space="preserve">useSceneCollectionManager.ts:876-898</t>
  </si>
  <si>
    <t xml:space="preserve">Mostly pure — generic recursive rewrite.</t>
  </si>
  <si>
    <t xml:space="preserve">None — CLI keeps file ids as-is.</t>
  </si>
  <si>
    <t xml:space="preserve">internal: 6790 (handleImportVoxlFile supports)</t>
  </si>
  <si>
    <t xml:space="preserve">Med — — verify no support field references a model under a different key name</t>
  </si>
  <si>
    <t xml:space="preserve">Pure. Only rewrites keys literally named modelId; MODEL_ID_COLLECTION_KEYS in the support registry may name others (check).</t>
  </si>
  <si>
    <t xml:space="preserve">remapModelIds&lt;T&gt;({ payload: T, idMap: ReadonlyMap&lt;string,string&gt; }): T</t>
  </si>
  <si>
    <t xml:space="preserve">Nested arrays/objects rewritten; unknown id left alone; non-modelId keys untouched.</t>
  </si>
  <si>
    <t xml:space="preserve">No (map given)</t>
  </si>
  <si>
    <t xml:space="preserve">support-payload-counts</t>
  </si>
  <si>
    <t xml:space="preserve">voxlSupportsContainData, payloadCollections, countSupportEntries</t>
  </si>
  <si>
    <t xml:space="preserve">Lists a support payload's collections by the registry's SUPPORT_COLLECTION_KEYS and counts entries; 'does this VOXL carry any supports'.</t>
  </si>
  <si>
    <t xml:space="preserve">useSceneCollectionManager.ts:901-914</t>
  </si>
  <si>
    <t xml:space="preserve">SUPPORT_COLLECTION_KEYS (supportTypeRegistry)</t>
  </si>
  <si>
    <t xml:space="preserve">Partial — scene load sums only roots/trunks/branches/leaves/braces/knots (misses twigs, sticks, kickstands...).</t>
  </si>
  <si>
    <t xml:space="preserve">internal: 6253, 6789, 6802</t>
  </si>
  <si>
    <t xml:space="preserve">Pure; supportTypeRegistry import needs checking for THREE.</t>
  </si>
  <si>
    <t xml:space="preserve">countSupportEntries({ payload }): number</t>
  </si>
  <si>
    <t xml:space="preserve">Payload with only kickstands -&gt; count&gt;0 and contains=true; CLI 'scene load' reports 0 today (divergence).</t>
  </si>
  <si>
    <t xml:space="preserve">apply-import-defaults-to-raft</t>
  </si>
  <si>
    <t xml:space="preserve">applyImportDefaultsToRaftState</t>
  </si>
  <si>
    <t xml:space="preserve">On importing supports, merges the user's saved import-default raft settings into the global raft settings without marking them manually modified.</t>
  </si>
  <si>
    <t xml:space="preserve">useSceneCollectionManager.ts:916-923</t>
  </si>
  <si>
    <t xml:space="preserve">Reads: importDefaultsPreferences (storage), RaftState
Writes: RaftState (applyImportDefaultRaftSettings)</t>
  </si>
  <si>
    <t xml:space="preserve">Mixed — merge is pure; inputs/outputs are storage and a module store.</t>
  </si>
  <si>
    <t xml:space="preserve">getImportDefaultsRaftPatch, applyImportDefaultRaftSettings</t>
  </si>
  <si>
    <t xml:space="preserve">None — CLI never touches raft settings on load.</t>
  </si>
  <si>
    <t xml:space="preserve">internal: 6229, 6791, 7034, 7053</t>
  </si>
  <si>
    <t xml:space="preserve">Global store + preference storage; a raft setting change affects slicing output.</t>
  </si>
  <si>
    <t xml:space="preserve">raftSettingsAfterImport({ current: RaftSettings, defaults: ImportDefaults }): RaftSettings</t>
  </si>
  <si>
    <t xml:space="preserve">Patch overrides only raft keys; non-raft settings kept; session-modified flag not set.</t>
  </si>
  <si>
    <t xml:space="preserve">Yes — global raft settings</t>
  </si>
  <si>
    <t xml:space="preserve">normalize-plugin-scene-payload</t>
  </si>
  <si>
    <t xml:space="preserve">PluginSceneImportPayload, toFiniteNumber, toVector3, toEuler, asDragonfruitImportFormat, normalizePluginSceneImportPayload</t>
  </si>
  <si>
    <t xml:space="preserve">Validates an untyped plugin (LYS/Chitubox) model payload: geometry must be a BufferGeometry, transform parsed to vectors, supportData accepted only if every required/declared collection is an array, names trimmed.</t>
  </si>
  <si>
    <t xml:space="preserve">useSceneCollectionManager.ts:925-1057</t>
  </si>
  <si>
    <t xml:space="preserve">Mixed — validation is pure but requires THREE.BufferGeometry instanceof and builds THREE vectors.</t>
  </si>
  <si>
    <t xml:space="preserve">SUPPORT_COLLECTION_KEYS</t>
  </si>
  <si>
    <t xml:space="preserve">None — no plugin import in CLI.</t>
  </si>
  <si>
    <t xml:space="preserve">internal: 5787 (handleImportPluginSceneFile); asDragonfruitImportFormat also 7047 (importSupportDataFile)</t>
  </si>
  <si>
    <t xml:space="preserve">THREE types. Split: asDragonfruitImportFormat is fully pure and reusable by a CLI support import.</t>
  </si>
  <si>
    <t xml:space="preserve">asDragonfruitImportFormat({ value: unknown }): DragonfruitImportFormat | null</t>
  </si>
  <si>
    <t xml:space="preserve">Missing 'knots' -&gt; null; twigs non-array -&gt; null; transform with NaN -&gt; payload null; blank objName -&gt; undefined.</t>
  </si>
  <si>
    <t xml:space="preserve">load-files</t>
  </si>
  <si>
    <t xml:space="preserve">loadFiles</t>
  </si>
  <si>
    <t xml:space="preserve">Mesh import (STL/OBJ/3MF), one file at a time: refuses on a locked active plate, filters by extension, shows progress, records recent files, reads auto-lift/colour prefs, loads geometry (native repair/classify per Import Defaults, with a heavy-repair prompt), builds a LoadedModel resting on the bed, places it at a free spot (or on a new bed), appends to models, then sets selection and surfaces repair reports.</t>
  </si>
  <si>
    <t xml:space="preserve">useSceneCollectionManager.ts:2693-3058</t>
  </si>
  <si>
    <t xml:space="preserve">Reads: activePlateIdRef, lockedPlateIdsRef, activeModelIdRef, platesRef, plateOffsetForRef, modelsRef (via findFreeSpot), view3dSettings, defaultImportCenterXY, localStorage (autoLift, liftDistance, mesh appearance), Import Defaults (autoRepair)
Writes: setImportProgress, recent files, setModels (per file), plates via addPlatesRef (new bed), setActiveModelId, setSelectedModelIds, setPendingMeshRepairReports, scene import toast; blob URLs</t>
  </si>
  <si>
    <t xml:space="preserve">Mixed — ~60 lines of real rules (resting Z, placement, new-bed decision, post-import selection, repair-attention filter) inside ~300 lines of progress UI, async loaders (Tauri native / worker), prompts and setState</t>
  </si>
  <si>
    <t xml:space="preserve">loadMeshGeometry, load3mfGeometryMergedWithSplitData (hooks/useStlGeometry); findFreeSpotCentersForModels, buildMeshPlacementOffsets (in hook); plateLocalRect (plateLayout); repairReportNeedsAttention (module); countTriangles</t>
  </si>
  <si>
    <t xml:space="preserve">Partial — scene add-model: position defaults to 0,0,0 (or --position), no free-spot placement, z not lifted to rest on bed, no plateId, fixed colour #a3a3a3, polygonCount 0, no repair/classify, name strips only '.stl', sets activeModelId but not selection, STL path only</t>
  </si>
  <si>
    <t xml:space="preserve">None — import pushes no history entry (sceneEditHistory.dom-test clears history after loadCube). Ctrl+Z after import does not remove the model; the next edit's snapshot includes it</t>
  </si>
  <si>
    <t xml:space="preserve">src/features/import-export/useImportExportManager.ts (5 calls: picker+zip, drop, scene-picker mesh leftovers); internal: onFileChange, reopenRecentOpenedFile (6980, 7015)</t>
  </si>
  <si>
    <t xml:space="preserve">Blocks: THREE geometry from async loaders (Tauri native repair, workers), user prompt mid-import (requestMeshRepairConfirmation awaits UI), localStorage prefs, per-file setModels so placement of file N reads modelsRef which is stale for files 1..N-1 (handled by passing stagedNewModels), addPlatesRef side effect mid-loop. Placement needs only footprint rects, so a pure planner over footprints is feasible.</t>
  </si>
  <si>
    <t xml:space="preserve">planMeshImport({ incoming: { id: string; footprint: { minXOffset; maxXOffset; minYOffset; maxYOffset; width; depth }; bounds: { minZ: number; centerZ: number } }[]; occupied: Rect2D[]; plates: { id: string }[]; frames: PlateFrame[]; targetPlateId: string; bed: { widthMm; depthMm }; autoLift: boolean; liftDistanceMm: number; spacingMm: number }) =&gt; { placements: { id; x; y; z; plateId }[]; platesToAdd: number }</t>
  </si>
  <si>
    <t xml:space="preserve">With the dom-test harness: one cube on empty plate -&gt; centred on active plate, z = half height, selected+active. autoLift on, lift 5 -&gt; z = half height + 5. Two files -&gt; both selected, first active, no overlap. Second plate active -&gt; lands on plate 2 with plateId=plate2. Active plate full -&gt; lands on another plate; all full -&gt; new plate added. Oversized model -&gt; centred on active plate, no new bed. Locked active plate -&gt; nothing loaded, callback with plate id. Non-mesh files ignored. Undo count unchanged.</t>
  </si>
  <si>
    <t xml:space="preserve">useSceneAutosave schedules a save when models.length changes (not via history); drag-drop and Tauri file-open events route through useImportExportManager</t>
  </si>
  <si>
    <t xml:space="preserve">Active plate (activePlateIdRef: lock check, plateId stamp, placement centre); current selection state (hadActiveModelAtStart)</t>
  </si>
  <si>
    <t xml:space="preserve">import-lock-and-extension-filter</t>
  </si>
  <si>
    <t xml:space="preserve">loadFiles guard + getMeshExtension filter</t>
  </si>
  <si>
    <t xml:space="preserve">Before anything, a locked active plate refuses the whole import; then non-.stl/.obj/.3mf files are silently dropped and an empty list is a no-op.</t>
  </si>
  <si>
    <t xml:space="preserve">useSceneCollectionManager.ts:2697-2705 (getMeshExtension at 1418-1424)</t>
  </si>
  <si>
    <t xml:space="preserve">Reads: lockedPlateIdsRef, activePlateIdRef
Writes: onBlockedByLockRef callback</t>
  </si>
  <si>
    <t xml:space="preserve">Mostly pure — string suffix test and a lock lookup</t>
  </si>
  <si>
    <t xml:space="preserve">getMeshExtension (in hook, useCallback with no deps)</t>
  </si>
  <si>
    <t xml:space="preserve">None — add-model accepts any path, no lock concept</t>
  </si>
  <si>
    <t xml:space="preserve">internal: loadFiles</t>
  </si>
  <si>
    <t xml:space="preserve">getMeshExtension is pure and could move to a module now. The lock check should take the target plate explicitly.</t>
  </si>
  <si>
    <t xml:space="preserve">meshExtension({ fileName: string }) =&gt; '.stl'|'.obj'|'.3mf'|null; canImportToPlate({ plateId; lockedPlateIds }) =&gt; boolean</t>
  </si>
  <si>
    <t xml:space="preserve">'A.STL ' -&gt; '.stl'; 'x.step' -&gt; null; mixed list keeps order of meshes only.</t>
  </si>
  <si>
    <t xml:space="preserve">import-progress-and-recent-paths</t>
  </si>
  <si>
    <t xml:space="preserve">loadFiles progress UI + source path / size resolution</t>
  </si>
  <si>
    <t xml:space="preserve">Shows and updates import progress text per file and stage, yields to the UI, resolves on-disk size for path-backed files (File.size 0) via a native call, records recent files with source paths, logs, revokes blob URLs on failure, and always clears progress in finally.</t>
  </si>
  <si>
    <t xml:space="preserve">useSceneCollectionManager.ts:2707-2734, 2804-2817, 2997-3017, 3049-3057</t>
  </si>
  <si>
    <t xml:space="preserve">Reads: file.filePath, file.size
Writes: setImportProgress, recent files</t>
  </si>
  <si>
    <t xml:space="preserve">Mostly React — progress setState, Tauri readNativeFileSize, URL.createObjectURL</t>
  </si>
  <si>
    <t xml:space="preserve">readNativeFileSize (utils/pluginNetworkBridge), waitForUiYield, importLabel*/importDetail*</t>
  </si>
  <si>
    <t xml:space="preserve">None — not applicable</t>
  </si>
  <si>
    <t xml:space="preserve">Pure plumbing. Failed loads only console.error — no user-facing error toast for a file that fails to parse.</t>
  </si>
  <si>
    <t xml:space="preserve">Corrupt STL -&gt; progress cleared, no model, no crash; other files in the batch still load.</t>
  </si>
  <si>
    <t xml:space="preserve">importProgress rendered by an overlay in page.tsx</t>
  </si>
  <si>
    <t xml:space="preserve">import-prefs-read</t>
  </si>
  <si>
    <t xml:space="preserve">loadFiles auto-lift / colour preference read</t>
  </si>
  <si>
    <t xml:space="preserve">Reads autoLift and liftDistance (owned by useTransformManager) and the preferred mesh colour directly from localStorage at import time.</t>
  </si>
  <si>
    <t xml:space="preserve">useSceneCollectionManager.ts:2736-2750</t>
  </si>
  <si>
    <t xml:space="preserve">Reads: localStorage 'autoLift', 'liftDistance', mesh appearance record
Writes: none</t>
  </si>
  <si>
    <t xml:space="preserve">Mostly React — browser storage reads duplicating another hook's state</t>
  </si>
  <si>
    <t xml:space="preserve">readMeshAppearanceFromLocalStorage, DEFAULT_LIFT_DISTANCE_MM</t>
  </si>
  <si>
    <t xml:space="preserve">None — add-model hardcodes colour, no lift</t>
  </si>
  <si>
    <t xml:space="preserve">Second source of truth for lift settings (useTransformManager owns them). A pure import planner must receive autoLift/liftDistance/colour as parameters; the CLI would need flags or defaults.</t>
  </si>
  <si>
    <t xml:space="preserve">n/a (preference plumbing; pass values into planMeshImport)</t>
  </si>
  <si>
    <t xml:space="preserve">liftDistance stored as '3' with autoLift true -&gt; imported z offset +3; corrupt JSON -&gt; defaults.</t>
  </si>
  <si>
    <t xml:space="preserve">useTransformManager writes the same keys</t>
  </si>
  <si>
    <t xml:space="preserve">Global preferences</t>
  </si>
  <si>
    <t xml:space="preserve">import-native-repair-options</t>
  </si>
  <si>
    <t xml:space="preserve">loadFiles loadOptions (onNativeProcessingStage, onConfirmHeavyRepair)</t>
  </si>
  <si>
    <t xml:space="preserve">Builds the loader options: native repair 'auto' if Import Defaults autoRepair else 'none'; passes the on-disk path; maps loader stages (repairing/analyzing/classifying) to progress text; asks the user what to do for heavy repairs (cancel import / repair / repair parts / load as-is) and translates the choice.</t>
  </si>
  <si>
    <t xml:space="preserve">useSceneCollectionManager.ts:2820-2896</t>
  </si>
  <si>
    <t xml:space="preserve">Reads: getSavedImportDefaultsSettings().autoRepair, file.filePath
Writes: setImportProgress; prompt state via requestMeshRepairConfirmation</t>
  </si>
  <si>
    <t xml:space="preserve">Mostly React — progress-label plumbing and an awaited UI prompt; the only rule is choice mapping ('load_as_is' -&gt; 'skip', 'cancel_import' -&gt; throw sentinel)</t>
  </si>
  <si>
    <t xml:space="preserve">requestMeshRepairConfirmation (in hook), importLabel*/importDetail* messages</t>
  </si>
  <si>
    <t xml:space="preserve">None — CLI does not repair or classify on add-model</t>
  </si>
  <si>
    <t xml:space="preserve">Awaits a user decision; cancellation is signalled by throwing 'MESH_IMPORT_CANCELLED_BY_USER' and string-matching it. repair_parts only offered when a disk path exists (Tauri). Headless use needs a policy parameter instead of a prompt.</t>
  </si>
  <si>
    <t xml:space="preserve">n/a (UI plumbing) — headless needs a repairPolicy: 'none'|'auto'|'repair'|'repair_parts' parameter</t>
  </si>
  <si>
    <t xml:space="preserve">Choice cancel_import -&gt; file skipped, blob URL revoked, other files continue. load_as_is -&gt; loader gets 'skip'.</t>
  </si>
  <si>
    <t xml:space="preserve">Mesh repair confirm modal rendered from page.tsx reading the prompt state</t>
  </si>
  <si>
    <t xml:space="preserve">repair-remesh</t>
  </si>
  <si>
    <t xml:space="preserve">import-build-model-entry</t>
  </si>
  <si>
    <t xml:space="preserve">loadFiles model construction (3MF and STL/OBJ branches)</t>
  </si>
  <si>
    <t xml:space="preserve">Creates the LoadedModel: new uuid, file name as name, blob URL, size, sourcePath, plateId = active plate, rest Z = center.z - bbox.min.z (+ liftDistance if autoLift), zero rotation, unit scale, visible, preferred colour, triangle count (native original count if a reduced preview). 3MF keeps pre-split bodies for instant 'Split to Bodies' when &gt;1.</t>
  </si>
  <si>
    <t xml:space="preserve">useSceneCollectionManager.ts:2898-2996</t>
  </si>
  <si>
    <t xml:space="preserve">Reads: activePlateIdRef, defaultImportCenterXY, autoLift/liftDistance/color locals
Writes: setModels (append, once per file), stagedNewModels, firstLoadedModelId, repairReports</t>
  </si>
  <si>
    <t xml:space="preserve">Mixed — the entry shape and rest-Z rule are pure; THREE Vector3/Euler, async loaders and per-file setModels are plumbing. The two branches are near-duplicates (only loader and splitBodies differ)</t>
  </si>
  <si>
    <t xml:space="preserve">countTriangles (utils/geometry)</t>
  </si>
  <si>
    <t xml:space="preserve">Partial — add-model builds a VoxlModelEntry: z=0 not resting Z, polygonCount 0, colour fixed, no plateId</t>
  </si>
  <si>
    <t xml:space="preserve">Med — — stored plateId is stamped from the active plate even when placement lands on another existing bed; resolveModelPlateId prefers the frame containing the position, so this only matters for consumers that read model.plateId raw (check VOXL writer and modelsOnPlate callers)</t>
  </si>
  <si>
    <t xml:space="preserve">Duplicate branch bodies should collapse. plateId is stamped from the active plate even when placement later puts the model on another bed (only seatModelOnNewBedIfNeeded overwrites it); membership is not re-resolved from position here.</t>
  </si>
  <si>
    <t xml:space="preserve">importRestingZ({ bounds: { minZ: number; centerZ: number }; autoLift: boolean; liftDistanceMm: number }) =&gt; number</t>
  </si>
  <si>
    <t xml:space="preserve">Cube bbox z 0..10 centre 5 -&gt; z 5; autoLift with 4 -&gt; 9. 3MF with 1 body -&gt; splitBodies undefined; 3 bodies -&gt; 3. Model placed on plate 2 while plate 1 active: record raw model.plateId (expected plate1) vs resolveModelPlateId (plate2).</t>
  </si>
  <si>
    <t xml:space="preserve">Active plate (plateId stamp)</t>
  </si>
  <si>
    <t xml:space="preserve">import-post-selection</t>
  </si>
  <si>
    <t xml:space="preserve">loadFiles selection after import</t>
  </si>
  <si>
    <t xml:space="preserve">After import: if more than one model loaded, select all of them and make the first active; if one loaded and nothing was active before, select and activate it; if one loaded and something was active, leave selection unchanged.</t>
  </si>
  <si>
    <t xml:space="preserve">useSceneCollectionManager.ts:3020-3032</t>
  </si>
  <si>
    <t xml:space="preserve">Reads: hadActiveModelAtStart (activeModelIdRef at start), stagedNewModels
Writes: setActiveModelId, setSelectedModelIds</t>
  </si>
  <si>
    <t xml:space="preserve">Mostly pure — 10 lines of branching on counts</t>
  </si>
  <si>
    <t xml:space="preserve">Partial — add-model always sets activeModelId to the new model and leaves selectedModelIds</t>
  </si>
  <si>
    <t xml:space="preserve">Easy to extract. Note: multi-file import counts staged models (cancelled files excluded).</t>
  </si>
  <si>
    <t xml:space="preserve">selectionAfterImport({ importedIds: string[]; hadActiveModel: boolean }) =&gt; { activeModelId: string; selectedModelIds: string[] } | null</t>
  </si>
  <si>
    <t xml:space="preserve">[a,b] -&gt; active a, selected [a,b]. [a] &amp; none active -&gt; a/[a]. [a] &amp; active x -&gt; null (unchanged). [] -&gt; null.</t>
  </si>
  <si>
    <t xml:space="preserve">Current active model (decides the branch)</t>
  </si>
  <si>
    <t xml:space="preserve">import-repair-report</t>
  </si>
  <si>
    <t xml:space="preserve">loadFiles repair-report surfacing + repairReportNeedsAttention (module)</t>
  </si>
  <si>
    <t xml:space="preserve">Collects native repair reports per imported model; keeps those needing attention (not fully repaired, or repair changed vertex/triangle/non-manifold/boundary/inconsistent counts downward); stores them as pending and shows a 10 s toast (warning if any residual, else success) that opens the report.</t>
  </si>
  <si>
    <t xml:space="preserve">useSceneCollectionManager.ts:3034-3047 (rule at 1156-1166)</t>
  </si>
  <si>
    <t xml:space="preserve">Reads: geom.meshDefects.nativeRepairReport
Writes: setPendingMeshRepairReports, scene import toast</t>
  </si>
  <si>
    <t xml:space="preserve">Mixed — repairReportNeedsAttention is already a pure module function; the rest is toast state</t>
  </si>
  <si>
    <t xml:space="preserve">repairReportNeedsAttention (module-level in hook), emitSceneImportReport, reportAutoRepaired</t>
  </si>
  <si>
    <t xml:space="preserve">internal: loadFiles (other import paths may also use repairReportNeedsAttention)</t>
  </si>
  <si>
    <t xml:space="preserve">repairReportNeedsAttention can move to a meshRepair module as-is. Reports are only surfaced when at least one model loaded and only reset to [] when reports exist but none need attention.</t>
  </si>
  <si>
    <t xml:space="preserve">repairReportsNeedingAttention({ reports: { id; modelName; report: MeshHealthReport }[] }) =&gt; { attention: typeof reports; tone: 'warning'|'success'|null }</t>
  </si>
  <si>
    <t xml:space="preserve">fully_repaired with equal pre/post -&gt; not attention. fully_repaired with fewer triangles -&gt; attention, tone success. Not fully repaired -&gt; attention, tone warning.</t>
  </si>
  <si>
    <t xml:space="preserve">clickAction 'openMeshRepairReport' handled in page.tsx toast click</t>
  </si>
  <si>
    <t xml:space="preserve">on-file-change</t>
  </si>
  <si>
    <t xml:space="preserve">onFileChange</t>
  </si>
  <si>
    <t xml:space="preserve">&lt;input type=file&gt; change handler: passes picked files to loadFiles and resets the input so the same file can be picked again.</t>
  </si>
  <si>
    <t xml:space="preserve">useSceneCollectionManager.ts:3060-3066</t>
  </si>
  <si>
    <t xml:space="preserve">Reads: event target files
Writes: input value</t>
  </si>
  <si>
    <t xml:space="preserve">Mostly React — DOM event adapter</t>
  </si>
  <si>
    <t xml:space="preserve">src/features/import-export/useImportExportManager.ts (625, 943 via synthetic events); EmptySceneState.tsx receives page.tsx's zip-aware handler instead</t>
  </si>
  <si>
    <t xml:space="preserve">UI plumbing; useImportExportManager builds synthetic change events just to call it — it could call loadFiles directly.</t>
  </si>
  <si>
    <t xml:space="preserve">should-auto-repair-scene-imports</t>
  </si>
  <si>
    <t xml:space="preserve">shouldAutoRepairSceneImports</t>
  </si>
  <si>
    <t xml:space="preserve">Decides whether a scene import should run the native auto-repair: false if the caller suppresses it, else the saved 'auto repair scenes' import preference.</t>
  </si>
  <si>
    <t xml:space="preserve">useSceneCollectionManager.ts:5733-5736</t>
  </si>
  <si>
    <t xml:space="preserve">Reads: getSavedImportDefaultsSettings() (localStorage via importDefaultsPreferences.ts)
Writes: None</t>
  </si>
  <si>
    <t xml:space="preserve">Mostly pure — a one-liner over a localStorage-backed preference.</t>
  </si>
  <si>
    <t xml:space="preserve">getSavedImportDefaultsSettings (importDefaultsPreferences.ts)</t>
  </si>
  <si>
    <t xml:space="preserve">None — CLI does no repair on add-model/load.</t>
  </si>
  <si>
    <t xml:space="preserve">internal: handleImportPluginSceneFile (5774), VOXL/scene import (~6306), undoRepairsInPlace (7224)</t>
  </si>
  <si>
    <t xml:space="preserve">Trivial; only blocker is that the preference comes from window.localStorage. A pure version takes the setting as input.</t>
  </si>
  <si>
    <t xml:space="preserve">shouldAutoRepairImport({ suppressRepair?: boolean, autoRepairScenes: boolean }): boolean</t>
  </si>
  <si>
    <t xml:space="preserve">suppressRepair true -&gt; false regardless; undefined options -&gt; returns stored autoRepairScenes; default settings when no window.</t>
  </si>
  <si>
    <t xml:space="preserve">undoRepairsInPlace uses it to decide how to re-process a restored file, so 'undo repairs' may still auto-repair when the preference is on (ironic but intended? check).</t>
  </si>
  <si>
    <t xml:space="preserve">Reads persisted user preference</t>
  </si>
  <si>
    <t xml:space="preserve">load-support-json-dev</t>
  </si>
  <si>
    <t xml:space="preserve">handleLoadSupportJson</t>
  </si>
  <si>
    <t xml:space="preserve">Dev/legacy: fetches /dragonfruit_supports.json from the web root and loads it as the support state.</t>
  </si>
  <si>
    <t xml:space="preserve">useSceneCollectionManager.ts:7030-7040</t>
  </si>
  <si>
    <t xml:space="preserve">Reads: network fetch of /dragonfruit_supports.json
Writes: Raft settings store, support store (replace)</t>
  </si>
  <si>
    <t xml:space="preserve">Mostly React — fetch + store write, no validation (skips asDragonfruitImportFormat).</t>
  </si>
  <si>
    <t xml:space="preserve">applyImportDefaultsToRaftState, loadFromImportFormat</t>
  </si>
  <si>
    <t xml:space="preserve">src/components/organisms/panels/AnalysisPanelStack.tsx -&gt; IslandScanCard onLoadSupportJson; only reached when no onImportSupportFile is passed, but AnalysisPanelStack always passes importSupportDataFile, so it is effectively dead.</t>
  </si>
  <si>
    <t xml:space="preserve">Med — — check no other consumer passes onLoadSupportJson without onImportSupportFile (only IslandScanCard found)</t>
  </si>
  <si>
    <t xml:space="preserve">Not a useCallback (new identity each render). No such file in public/. Candidate for deletion rather than extraction.</t>
  </si>
  <si>
    <t xml:space="preserve">n/a (UI plumbing; delete candidate)</t>
  </si>
  <si>
    <t xml:space="preserve">None needed if deleted; otherwise assert IslandScanCard button opens file input when onImportSupportFile is set.</t>
  </si>
  <si>
    <t xml:space="preserve">Fixed URL</t>
  </si>
  <si>
    <t xml:space="preserve">import-support-data-file</t>
  </si>
  <si>
    <t xml:space="preserve">importSupportDataFile</t>
  </si>
  <si>
    <t xml:space="preserve">Reads a user-picked support JSON file, validates its shape, applies the saved import raft defaults, replaces the whole support state with it, and shows a toast.</t>
  </si>
  <si>
    <t xml:space="preserve">useSceneCollectionManager.ts:7043-7061</t>
  </si>
  <si>
    <t xml:space="preserve">Reads: File text, saved import defaults (localStorage via applyImportDefaultsToRaftState and loadFromImportFormat)
Writes: Raft settings store (applyImportDefaultRaftSettings), support store (setState via loadFromImportFormat — REPLACES all supports), scene import toast</t>
  </si>
  <si>
    <t xml:space="preserve">Mostly React — 3 lines of logic (parse, validate with asDragonfruitImportFormat, load). The store replace and toasts are side effects.</t>
  </si>
  <si>
    <t xml:space="preserve">asDragonfruitImportFormat (module fn line 978), applyImportDefaultsToRaftState (916), loadFromImportFormat (supports/state.ts:2233)</t>
  </si>
  <si>
    <t xml:space="preserve">None — no support import command; CLI writes support collections one element at a time.</t>
  </si>
  <si>
    <t xml:space="preserve">None — loadFromImportFormat calls setState with no history push; the replace is not undoable.</t>
  </si>
  <si>
    <t xml:space="preserve">src/components/organisms/panels/AnalysisPanelStack.tsx (onImportSupportFile -&gt; IslandScanCard file input)</t>
  </si>
  <si>
    <t xml:space="preserve">Validation (asDragonfruitImportFormat) and import-defaults application (applyImportDefaultsToSupportPayload in state.ts) are the rules; both read localStorage defaults. useCallback deps omit `_` (lint-suppressed?).</t>
  </si>
  <si>
    <t xml:space="preserve">parseSupportImport({ json: unknown, importDefaults: ImportDefaultsSettings }): { ok: true, supports: DragonfruitImportFormat, raftPatch: Partial&lt;RaftSettings&gt; } | { ok: false, reason }</t>
  </si>
  <si>
    <t xml:space="preserve">Unsupported JSON -&gt; error toast, store unchanged; valid file -&gt; store equals migrated payload with defaults applied; legacy payload migrated; existing supports are discarded (pin this). Verify undo stack unchanged.</t>
  </si>
  <si>
    <t xml:space="preserve">emitSupportInteractionReset('loadFromImportFormat') event inside loadFromImportFormat.</t>
  </si>
  <si>
    <t xml:space="preserve">Whole support state is replaced; no model id mapping</t>
  </si>
  <si>
    <t xml:space="preserve">plugin-import-stubs</t>
  </si>
  <si>
    <t xml:space="preserve">pluginImportPhase, pluginImportError, handlePluginJsonFile, handlePluginStlFile, cancelPluginImport</t>
  </si>
  <si>
    <t xml:space="preserve">Constant stubs for a removed two-step plugin import (always 'idle', null, undefined).</t>
  </si>
  <si>
    <t xml:space="preserve">useSceneCollectionManager.ts:7063-7067</t>
  </si>
  <si>
    <t xml:space="preserve">Mostly pure — constants only.</t>
  </si>
  <si>
    <t xml:space="preserve">src/components/organisms/panels/AnalysisPanelStack.tsx, src/components/controls/IslandScanCard.tsx, src/app/page.tsx</t>
  </si>
  <si>
    <t xml:space="preserve">Dead API surface kept for prop compatibility; delete with IslandScanCard two-step branch.</t>
  </si>
  <si>
    <t xml:space="preserve">Type-check after removal; IslandScanCard renders without plugin props.</t>
  </si>
  <si>
    <t xml:space="preserve">helper-normalize-plugin-payload</t>
  </si>
  <si>
    <t xml:space="preserve">normalizePluginSceneImportPayload (module)</t>
  </si>
  <si>
    <t xml:space="preserve">Validates a plugin payload: requires a THREE.BufferGeometry and a transform; converts position/rotation/scale to Vector3/Euler; carries modelId, objName, supportData, meshModifiers, skipClassification.</t>
  </si>
  <si>
    <t xml:space="preserve">useSceneCollectionManager.ts:1006-1057</t>
  </si>
  <si>
    <t xml:space="preserve">Reads: payload
Writes: None</t>
  </si>
  <si>
    <t xml:space="preserve">Mostly pure — no React, but depends on THREE types for geometry and transform.</t>
  </si>
  <si>
    <t xml:space="preserve">toVector3, toEuler</t>
  </si>
  <si>
    <t xml:space="preserve">internal: handleImportPluginSceneFile</t>
  </si>
  <si>
    <t xml:space="preserve">Move next to the plugin contract; split transform parsing (plain numbers) from geometry check.</t>
  </si>
  <si>
    <t xml:space="preserve">normalizePluginScenePayload({ payload: unknown }): { transform: PlainTransform, modelId?, objName?, supportData?, meshModifiers?, skipClassification } | null</t>
  </si>
  <si>
    <t xml:space="preserve">Missing geometry -&gt; null; rotation as {x,y,z} plain object -&gt; Euler with same values.</t>
  </si>
  <si>
    <t xml:space="preserve">helper-cavity</t>
  </si>
  <si>
    <t xml:space="preserve">readPayloadCavity, mergeCavityIntoShell (module)</t>
  </si>
  <si>
    <t xml:space="preserve">readPayloadCavity decodes a hollowing modifier's cavity positions (base64 Float32, length checked against cavityPositionCount); mergeCavityIntoShell concatenates shell and cavity positions into a new position-only geometry.</t>
  </si>
  <si>
    <t xml:space="preserve">useSceneCollectionManager.ts:1197-1240</t>
  </si>
  <si>
    <t xml:space="preserve">Reads: meshModifiers.hollowing
Writes: None</t>
  </si>
  <si>
    <t xml:space="preserve">Mostly pure — Float32 work; mergeCavityIntoShell wraps the result in THREE.BufferGeometry.</t>
  </si>
  <si>
    <t xml:space="preserve">base64ToBytes, geometryPositionsAsSoup</t>
  </si>
  <si>
    <t xml:space="preserve">Return Float32Array instead of BufferGeometry to make it fully pure; belongs in mesh-modifiers.</t>
  </si>
  <si>
    <t xml:space="preserve">mergeCavityPositions({ shell: Float32Array, cavity: Float32Array }): Float32Array</t>
  </si>
  <si>
    <t xml:space="preserve">Count mismatch -&gt; null; odd byte length -&gt; null; merge length = sum.</t>
  </si>
  <si>
    <t xml:space="preserve">scene-import-run-options</t>
  </si>
  <si>
    <t xml:space="preserve">SceneImportRunOptions, shouldAutoRepairSceneImports</t>
  </si>
  <si>
    <t xml:space="preserve">Option bag shared by every scene import (suppress progress/report/recent tracking/placement prompt/repair, sourcePath(s)); shouldAutoRepairSceneImports returns false when suppressRepair is set, else the saved 'auto repair scenes' import default.</t>
  </si>
  <si>
    <t xml:space="preserve">useSceneCollectionManager.ts:5723-5736</t>
  </si>
  <si>
    <t xml:space="preserve">Reads: getSavedImportDefaultsSettings() (localStorage-backed prefs)
Writes: None</t>
  </si>
  <si>
    <t xml:space="preserve">Mostly pure — a one-line predicate; the only impurity is reading saved prefs from storage.</t>
  </si>
  <si>
    <t xml:space="preserve">importDefaultsPreferences.getSavedImportDefaultsSettings</t>
  </si>
  <si>
    <t xml:space="preserve">None — CLI never repairs on load.</t>
  </si>
  <si>
    <t xml:space="preserve">internal: handleImportPluginSceneFile, handleImportVoxlFile</t>
  </si>
  <si>
    <t xml:space="preserve">Pass autoRepair as an explicit boolean into the pure load plan; keep pref read in the manager.</t>
  </si>
  <si>
    <t xml:space="preserve">n/a (UI plumbing) — becomes an `autoRepair: boolean` field on the load params</t>
  </si>
  <si>
    <t xml:space="preserve">suppressRepair:true -&gt; false regardless of prefs; otherwise equals prefs.autoRepairScenes.</t>
  </si>
  <si>
    <t xml:space="preserve">Reads the user's saved import defaults from storage rather than taking them as a parameter</t>
  </si>
  <si>
    <t xml:space="preserve">import-plugin-scene-file</t>
  </si>
  <si>
    <t xml:space="preserve">handleImportPluginSceneFile (returned as importPluginSceneFile)</t>
  </si>
  <si>
    <t xml:space="preserve">Imports a non-VOXL scene file (LYS, Chitubox etc.) through the plugin registered for its extension: runs the plugin, normalizes 1..N payloads, optionally bakes a pre-hollowed cavity into the mesh (asks first), refines + processes geometry, asks to auto-arrange if any model is off-plate, appends models, selects them, applies each model's supports next frame, then optionally shelf-packs them across existing/new plates.</t>
  </si>
  <si>
    <t xml:space="preserve">useSceneCollectionManager.ts:5738-6286</t>
  </si>
  <si>
    <t xml:space="preserve">Reads: scenePluginImportHandlersByExtension (builtin plugin registry), import defaults prefs, view3dSettings (bed size/origin), platesRef, plateOffsetForRef, addPlatesRef, support store (estimateRaftBoundsForModel)
Writes: models (append), activeModelId (last new), selectedModelIds (all new), meshModifier store (storeModelMeshModifiers), support store (mergeFromImportFormat, transformSupportsForModel), raft settings (applyImportDefaultsToRaftState), plates (addPlatesRef when spilling), importProgress, recentOpenedFiles, sceneImportReport, window.alert</t>
  </si>
  <si>
    <t xml:space="preserve">Mixed — real rules: payload normalize, cavity bake, name derivation, off-plate count, shelf-pack seat planning (6083-6172). Plumbing: awaits on modal prompts, setImportProgress, refineCoarseFaces/processGeometry (native IPC), rAF for supports, window.alert.</t>
  </si>
  <si>
    <t xml:space="preserve">normalizePluginSceneImportPayload, readPayloadCavity, mergeCavityIntoShell, snapshotGeometryPositions, processGeometry/refineCoarseFaces, shelfPack (arrange/shelfPack), plateLocalRect, computeProjectedFootprintSize, mergeFromImportFormat, transformSupportsForModel</t>
  </si>
  <si>
    <t xml:space="preserve">None — CLI has no plugin scene import; plugins build THREE geometry in the renderer.</t>
  </si>
  <si>
    <t xml:space="preserve">None — no history entry is pushed; the import cannot be undone as one step (later edits snapshot on top of it).</t>
  </si>
  <si>
    <t xml:space="preserve">internal: importSceneFile; returned as importPluginSceneFile but no external caller found in src/ or plugins/</t>
  </si>
  <si>
    <t xml:space="preserve">Med — — the off-plate test vs arrange target mismatch (active plate vs all plates) needs a runtime check</t>
  </si>
  <si>
    <t xml:space="preserve">Two user prompts awaited mid-flow (hollowing, placement); geometry is THREE BufferGeometry; native refine/repair; plugin handlers are renderer code; supports applied in rAF so arrange reads raft bounds from the live store; addPlatesRef mutates plates mid-plan.</t>
  </si>
  <si>
    <t xml:space="preserve">planPluginSceneImport({ payloads: Array&lt;{ modelId?, objName?, transform, footprint:{w,d}, raftReach? }&gt;, fileName, bakeHollowing: boolean, autoArrange: boolean, plates: {id}[], bed:{widthMm,depthMm,originMode}, ordering }): { models: Array&lt;{ id, name, transform, plateId }&gt;, platesToAdd: number }</t>
  </si>
  <si>
    <t xml:space="preserve">Fake plugin returning 2 payloads, one off-bed: suppressPlacementPrompt -&gt; positions unchanged, names from objName else 'file (i)'; prompt=auto_arrange with 3 plates' worth -&gt; spills create exactly N new plates; hollowed payload + bake -&gt; triangle count = shell+cavity and hollowing.bakedIntoGeometry=true; decline -&gt; false.</t>
  </si>
  <si>
    <t xml:space="preserve">Plugin handlers come from getBuiltinComplexPluginFileTypeHandlers (plugin registry). Prompts resolve via sceneImportPlacementResolveRef / sceneImportHollowingResolveRef set by SceneFileModals.</t>
  </si>
  <si>
    <t xml:space="preserve">Plates: arrange packs into ALL existing plates in order then adds new ones; the 'off-plate' test (isModelFootprintInsidePlate) checks only the ACTIVE plate rect.</t>
  </si>
  <si>
    <t xml:space="preserve">plugin-import-hollow-bake</t>
  </si>
  <si>
    <t xml:space="preserve">handleImportPluginSceneFile: hollowing choice + cavity bake</t>
  </si>
  <si>
    <t xml:space="preserve">If any payload carries a hollowing cavity, asks 'bake or keep separate' (headless default 'bake'); when baking, snapshots the shell positions (for Remove Hollowing) and concatenates cavity triangles into the shell before refine/classify; stores hollowing.bakedIntoGeometry to match the choice.</t>
  </si>
  <si>
    <t xml:space="preserve">useSceneCollectionManager.ts:5794-5849</t>
  </si>
  <si>
    <t xml:space="preserve">Reads: payload.meshModifiers.hollowing (cavityPositionsBase64/Count)
Writes: geometry (local), shellSnapshotByPayload, later meshModifier store (5996-6016)</t>
  </si>
  <si>
    <t xml:space="preserve">Mixed — cavity decode + concat is pure Float32 work; the choice is an awaited modal; geometry is THREE.</t>
  </si>
  <si>
    <t xml:space="preserve">readPayloadCavity, mergeCavityIntoShell, snapshotGeometryPositions</t>
  </si>
  <si>
    <t xml:space="preserve">Replace THREE geometry with Float32 position soup; make the choice an input.</t>
  </si>
  <si>
    <t xml:space="preserve">bakeImportedCavity({ shellPositions: Float32Array, hollowing: { cavityPositionsBase64, cavityPositionCount }, bake: boolean }): { positions: Float32Array, hollowing: {...; bakedIntoGeometry: boolean; sourcePositionsBase64?: string } }</t>
  </si>
  <si>
    <t xml:space="preserve">Shell of 12 tris + cavity of 12 tris -&gt; 24 tris, first 36 floats identical to shell; bad base64 or count mismatch -&gt; unchanged geometry; bake=false -&gt; bakedIntoGeometry false and no shell snapshot.</t>
  </si>
  <si>
    <t xml:space="preserve">plugin-import-apply-supports</t>
  </si>
  <si>
    <t xml:space="preserve">handleImportPluginSceneFile: applySupports (rAF)</t>
  </si>
  <si>
    <t xml:space="preserve">In one support-store batch per import: applies import-default raft settings, merges each payload's supports bound to the host-assigned model id (reconciling the plugin's stamped id), and moves them if the model transform differs from the file's; then runs the arrange step.</t>
  </si>
  <si>
    <t xml:space="preserve">useSceneCollectionManager.ts:6222-6250</t>
  </si>
  <si>
    <t xml:space="preserve">Reads: supportData per payload, model transforms
Writes: support store, raft settings</t>
  </si>
  <si>
    <t xml:space="preserve">Mostly React — store side effects scheduled with requestAnimationFrame; the id reconcile is in supports/state.</t>
  </si>
  <si>
    <t xml:space="preserve">mergeFromImportFormat(data, ownerModelId), transformSupportsForModel, applyImportDefaultsToRaftState, transformsEqual</t>
  </si>
  <si>
    <t xml:space="preserve">rAF timing; global raft settings mutated by import defaults (applies to the whole scene, not just the imported models).</t>
  </si>
  <si>
    <t xml:space="preserve">bindImportedSupports({ supports: DragonfruitImportFormat, ownerModelId: string, from: Transform, to: Transform }): DragonfruitImportFormat</t>
  </si>
  <si>
    <t xml:space="preserve">Payload with modelId 'x' bound to host id 'y' -&gt; every support's modelId is 'y'; differing transform moves root positions by the delta.</t>
  </si>
  <si>
    <t xml:space="preserve">applyImportDefaultsToRaftState writes global raft settings — every later slice/export sees them.</t>
  </si>
  <si>
    <t xml:space="preserve">No (explicit model ids)</t>
  </si>
  <si>
    <t xml:space="preserve">import-voxl-file</t>
  </si>
  <si>
    <t xml:space="preserve">handleImportVoxlFile</t>
  </si>
  <si>
    <t xml:space="preserve">Opens a .voxl into the current scene (merges, does not replace): checks header (refuses obsolete V1), parses with deferred mesh chunks when the file has a path, builds each unique mesh once natively (dedup by SHA/chunk), maps entries to models with fresh ids on collision, re-lays models if the file's printer had a different bed, asks to auto-arrange if any model stands on none of the file's beds, commits models/selection/plates, warns on printer mismatch, merges supports with remapped ids.</t>
  </si>
  <si>
    <t xml:space="preserve">useSceneCollectionManager.ts:6288-6868</t>
  </si>
  <si>
    <t xml:space="preserve">Reads: modelsRef (existing ids), view3dSettings, platesRef, plateOrderingRef, profile store (active printer), import defaults prefs, file path (File.path/filePath/sourcePath)
Writes: models (append), activeModelId, selectedModelIds, plates + activePlateId (replaced when file has plates), plate 1 name (legacy), printerMismatch, obsoleteVoxlScene, lastLoadedVoxlFormatChunkedRef, meshChunkStore 'original' slot, meshModifier store, support store + raft settings, importProgress, recentOpenedFiles, sceneImportReport</t>
  </si>
  <si>
    <t xml:space="preserve">Mixed — real rules (id remap, plate stamping, relayout shift, off-bed test, printer mismatch decision, support remap) are maybe 150 lines; the rest is native mesh building, progress setState, awaits on prompt, timing logs.</t>
  </si>
  <si>
    <t xml:space="preserve">parseVoxlBinaryV2, isVoxlBinaryV2, detectObsoleteVoxlVersion, readScenePlates, loadMeshGeometry(FromRange), runWithConcurrency, meshChunkStore, resolveOriginalRefSidecar, modelsShiftedForRelaidPlates (hook cb), plateCascadeOffsetMm, rectStandsOnAnyBed, findPrinterProfileForBundle, buildVolumeIsSmaller, remapModelIdsInPayload, mergeFromImportFormat</t>
  </si>
  <si>
    <t xml:space="preserve">Partial — `scene load` only parses (parseVoxlAuto) and dumps; no id remap, no relayout, no printer check, no support defaults, no repair. Every CLI command loads the doc as-is.</t>
  </si>
  <si>
    <t xml:space="preserve">None — loading pushes no history; existing undo stack is not cleared, so Undo after a load walks back pre-load actions on a scene that now also holds the loaded models.</t>
  </si>
  <si>
    <t xml:space="preserve">internal: importSceneFile (→ useImportExportManager.importSceneFilesWithPluginWarning, page.tsx handleAutosaveRestore 4688)</t>
  </si>
  <si>
    <t xml:space="preserve">Med — — undo interaction after load should be checked in the running app</t>
  </si>
  <si>
    <t xml:space="preserve">Native mesh build (Tauri IPC, GPU occlusion bake) must stay in the manager; prompt await in the middle; modelsShiftedForRelaidPlates is a hook callback reading view3dSettings/plateOrderingRef; THREE Euler/Vector3 in model transforms; support import defaults mutate global raft settings.</t>
  </si>
  <si>
    <t xml:space="preserve">planVoxlSceneLoad({ document: VoxlDocumentV1 (models/scene/meta/extensions/supports), existingModelIds: string[], currentBed:{widthMm,depthMm,originMode}, currentOrdering, currentPlates:{id}[] }): { models: Array&lt;{ fileId, id, plateId?, transform }&gt;, idMap: Record&lt;string,string&gt;, plates?: {id,name}[], activePlateId?, legacyPlateName?, activeModelId, offBedModelIds: string[], supports: DragonfruitImportFormat }</t>
  </si>
  <si>
    <t xml:space="preserve">App-written 2-plate scene with a model on each plate, loaded into an empty scene with the same printer: ids kept, plateIds match, positions unchanged, no prompt. Same file with a colliding id in the scene: new uuid and supports' modelId remapped. File with meta.printer 300x200 opened on 200x120: model on plate 2 keeps its plate-centre offset. CLI load of the same file: dump equals document.</t>
  </si>
  <si>
    <t xml:space="preserve">Prompts resolve via refs set by SceneFileModals; useImportExportManager reads lastLoadedVoxlFormatChunkedRef right after to set autosave format; autosave is suppressed around imports by suppressSceneAutosave.</t>
  </si>
  <si>
    <t xml:space="preserve">Free-spot arrange (findFreeSpotCentersForModels) targets the ACTIVE plate; off-plate test uses the file's beds laid out with the CURRENT ordering/bed size; merges into whatever scene is open.</t>
  </si>
  <si>
    <t xml:space="preserve">voxl-load-header-check</t>
  </si>
  <si>
    <t xml:space="preserve">handleImportVoxlFile: container/version detection</t>
  </si>
  <si>
    <t xml:space="preserve">Reads the first 6 bytes; a V2+ binary proceeds, a recognised V1 scene throws VoxlObsoleteVersionError (shown as a modal + warning report), anything else throws 'Not a VOXL file'.</t>
  </si>
  <si>
    <t xml:space="preserve">useSceneCollectionManager.ts:6307-6319</t>
  </si>
  <si>
    <t xml:space="preserve">Reads: file bytes
Writes: obsoleteVoxlScene (in catch 6839-6848)</t>
  </si>
  <si>
    <t xml:space="preserve">Mostly pure — duplicates parseVoxlAuto (codec.ts:151-169) line for line; only the catch's setState is React.</t>
  </si>
  <si>
    <t xml:space="preserve">isVoxlBinaryV2, detectObsoleteVoxlVersion, VoxlObsoleteVersionError (voxl/codec)</t>
  </si>
  <si>
    <t xml:space="preserve">Full — loadVoxl → parseVoxlAuto throws the same errors (CLI just prints them).</t>
  </si>
  <si>
    <t xml:space="preserve">App peeks 6 bytes then parses with parseVoxlBinaryV2(deferMeshChunks); could call a shared parse entry with the defer option instead of restating the check.</t>
  </si>
  <si>
    <t xml:space="preserve">parseVoxlAuto(bytes, { deferMeshChunks }) — already exists; extend with the option</t>
  </si>
  <si>
    <t xml:space="preserve">V1 JSON bytes -&gt; VoxlObsoleteVersionError with detected version in both paths; random bytes -&gt; same message in both.</t>
  </si>
  <si>
    <t xml:space="preserve">voxl-load-mesh-build-dedup</t>
  </si>
  <si>
    <t xml:space="preserve">handleImportVoxlFile: unique mesh build + dedup</t>
  </si>
  <si>
    <t xml:space="preserve">Keys each embedded-chunk model by declared SHA, else chunk index (deferred) or computed SHA; builds each unique mesh once (4 at a time) via the native loader (by file range when the file has a path), with auto-repair per prefs and classification skipped for support-geometry models; duplicates get a shared clone. File-stored classification is deliberately ignored.</t>
  </si>
  <si>
    <t xml:space="preserve">useSceneCollectionManager.ts:6359-6462</t>
  </si>
  <si>
    <t xml:space="preserve">Reads: parsed.meshBytes / meshRanges, document.models[].mesh, prefs
Writes: builtGeometryByHash (local), importProgress, GPU occlusion bakes</t>
  </si>
  <si>
    <t xml:space="preserve">Mostly React — the dedup key rule (declared sha ?? chunk:&lt;idx&gt; ?? sha256(bytes)) is pure; the rest is native IPC + GPU.</t>
  </si>
  <si>
    <t xml:space="preserve">loadMeshGeometry, loadMeshGeometryFromRange, runWithConcurrency, sha256Hex, cloneGeometryWithBounds</t>
  </si>
  <si>
    <t xml:space="preserve">Partial — CLI keeps raw STL bytes per model (shared bytes for dedup duplicates); no repair, no classification.</t>
  </si>
  <si>
    <t xml:space="preserve">Only the dedup-key function is worth extracting; build stays in the manager.</t>
  </si>
  <si>
    <t xml:space="preserve">voxlMeshDedupKey({ mesh: { sha256?, chunkIndex? }, modelIndex: number, deferred: boolean, contentSha?: string }): string</t>
  </si>
  <si>
    <t xml:space="preserve">Two models sharing chunkIndex 0 with no sha and deferred parse -&gt; same key 'chunk:0'; declared sha uppercase -&gt; lowercased.</t>
  </si>
  <si>
    <t xml:space="preserve">voxl-load-model-mapping</t>
  </si>
  <si>
    <t xml:space="preserve">handleImportVoxlFile: entry → LoadedModel (ids, plates, originals)</t>
  </si>
  <si>
    <t xml:space="preserve">For each file model: skips missing/non-embedded meshes (counted), verifies SHA when bytes present, assigns a new uuid if the id is empty or already in the scene (idMap), queues the full-res original into meshChunkStore (ORIG chunk, else external sidecar file next to the .voxl), stamps plateId (file's own plate, else its first plate), clamps colour, converts rotation from global Euler, sets ignoreAutoLift/manualZMoveOverride, stores meshModifiers externally.</t>
  </si>
  <si>
    <t xml:space="preserve">useSceneCollectionManager.ts:6465-6630</t>
  </si>
  <si>
    <t xml:space="preserve">Reads: document.models, existingIds (modelsRef), resolvedOriginalMeshBytes, originalMeshChunks, file path
Writes: importedModels (local), idMap, meshChunkStore 'original' slot (fire-and-forget), meshModifier store</t>
  </si>
  <si>
    <t xml:space="preserve">Mixed — id/plate/colour/transform mapping is pure (~40 lines); sidecar file read (Tauri), chunk-store bake and THREE objects are not.</t>
  </si>
  <si>
    <t xml:space="preserve">clampHexColor, eulerFromGlobalEuler, sanitizeImportedModelDisplayName, resolveOriginalRefSidecar, readSidecarFileBytes, storeModelMeshModifiers, readScenePlates</t>
  </si>
  <si>
    <t xml:space="preserve">None — CLI keeps entries verbatim; it never renames ids (no merge) and keeps the file's names (app strips every '.ext' from names).</t>
  </si>
  <si>
    <t xml:space="preserve">Name sanitising strips ALL dotted suffixes ('v1.2 bracket' -&gt; 'v1'): a load renames models, and the next save writes the new name. classification, nativePreview and geometryStale from the file are dropped here.</t>
  </si>
  <si>
    <t xml:space="preserve">mapVoxlModelsForMerge({ models: Array&lt;{ id, name, plateId?, color?, transform }&gt;, filePlateIds: string[], existingModelIds: string[], newId: () =&gt; string }): { models: Array&lt;{ fileId, id, name, plateId?, color, transform }&gt;, idMap: Map&lt;string,string&gt; }</t>
  </si>
  <si>
    <t xml:space="preserve">Model 'a' already in scene -&gt; new id, idMap a-&gt;new; plateId 'p9' not in file plates -&gt; first file plate; file with no plates -&gt; plateId undefined; name 'part.v2.stl' -&gt; 'part' (pin current behaviour).</t>
  </si>
  <si>
    <t xml:space="preserve">meshChunkStore.bake is consumed later by ExportManager.exportVoxl (lastCommitted 'original') — load and save are wired through this module store.</t>
  </si>
  <si>
    <t xml:space="preserve">voxl-load-commit</t>
  </si>
  <si>
    <t xml:space="preserve">handleImportVoxlFile: commit models, selection, plates</t>
  </si>
  <si>
    <t xml:space="preserve">Back-fills unknown file sizes from the source path (desktop), appends models, makes the file's active model (mapped) active else the first, selects ALL imported models (file selection ignored on purpose), and replaces the scene's plate list and active plate with the file's (or renames plate 1 from the legacy plateName).</t>
  </si>
  <si>
    <t xml:space="preserve">useSceneCollectionManager.ts:6721-6760</t>
  </si>
  <si>
    <t xml:space="preserve">Reads: document.scene.activeModelId, scenePlates, idMap
Writes: models, activeModelId, selectedModelIds, plates, activePlateId, fileSizeBytes on models</t>
  </si>
  <si>
    <t xml:space="preserve">Mixed — selection/active/plate decisions are a few pure lines; setState and readNativeFileSize (Tauri) are plumbing.</t>
  </si>
  <si>
    <t xml:space="preserve">readScenePlates, readNativeFileSize</t>
  </si>
  <si>
    <t xml:space="preserve">Partial — CLI keeps scene.activeModelId/selectedModelIds/plates verbatim (it never merges).</t>
  </si>
  <si>
    <t xml:space="preserve">Med — — whether merge-into-open-scene is ever reached with existing models (open flow may clear first) needs checking</t>
  </si>
  <si>
    <t xml:space="preserve">Plate ordering in the file's extension is NOT adopted (only used as 'wasOrdering' for the shift), so a scene saved in grid ordering reopens in the user's current ordering.</t>
  </si>
  <si>
    <t xml:space="preserve">resolveLoadedSceneCursor({ fileScene: { activeModelId, plates?, activePlateId?, plateName? }, idMap, importedIds: string[], currentPlates }): { activeModelId, selectedModelIds, plates, activePlateId }</t>
  </si>
  <si>
    <t xml:space="preserve">File with selection [b] and active a -&gt; selected [a,b] (all), active a; file without plates but plateName 'X' -&gt; plate 1 renamed X; file plates [p1,p2] active p2 -&gt; scene plates replaced, active p2.</t>
  </si>
  <si>
    <t xml:space="preserve">Merges into the open scene but REPLACES its plates: models already in the scene keep plateIds that may no longer exist.</t>
  </si>
  <si>
    <t xml:space="preserve">voxl-load-printer-mismatch</t>
  </si>
  <si>
    <t xml:space="preserve">handleImportVoxlFile: printer mismatch detection</t>
  </si>
  <si>
    <t xml:space="preserve">If the file embeds a printer bundle and the bundle does not resolve to the currently selected printer profile, raises the printerMismatch prompt (recorded vs current name and build volume, installed profile id, whether the current one is smaller). resolvePrinterMismatch later switches/imports the profile.</t>
  </si>
  <si>
    <t xml:space="preserve">useSceneCollectionManager.ts:6762-6786</t>
  </si>
  <si>
    <t xml:space="preserve">Reads: document.meta.printer, profile store snapshot (getProfileStoreSnapshot)
Writes: printerMismatch</t>
  </si>
  <si>
    <t xml:space="preserve">Mostly pure — the decision is ~15 lines over plain data; setState is the only plumbing.</t>
  </si>
  <si>
    <t xml:space="preserve">findPrinterProfileForBundle, buildVolumeIsSmaller (profiles/voxlPrinterBundle), getActivePrinterProfile</t>
  </si>
  <si>
    <t xml:space="preserve">None — CLI never checks; `scene slice --printer` silently uses whatever profile is passed.</t>
  </si>
  <si>
    <t xml:space="preserve">internal: handleImportVoxlFile; prompt rendered by SceneFileModals.tsx:330</t>
  </si>
  <si>
    <t xml:space="preserve">Easy: pass profiles + active id in. The CLI slice could warn with the same rule.</t>
  </si>
  <si>
    <t xml:space="preserve">detectPrinterMismatch({ recorded?: VoxlPrinterBundle, profiles: PrinterProfile[], activeProfileId: string }): PrinterMismatchPrompt | null</t>
  </si>
  <si>
    <t xml:space="preserve">Bundle matching active -&gt; null; matching another installed profile -&gt; installedProfileId set; unknown printer smaller than current -&gt; currentIsSmaller false.</t>
  </si>
  <si>
    <t xml:space="preserve">Reads the active printer from the global profile store</t>
  </si>
  <si>
    <t xml:space="preserve">voxl-load-supports</t>
  </si>
  <si>
    <t xml:space="preserve">handleImportVoxlFile: supports remap + merge</t>
  </si>
  <si>
    <t xml:space="preserve">If the file has any support, rewrites every 'modelId' in the payload through idMap, applies the user's import-default raft settings, merges supports into the store (which also applies import defaults such as 'roots disabled' to the payload), then moves supports of models whose transform changed during load (relayout / arrange).</t>
  </si>
  <si>
    <t xml:space="preserve">useSceneCollectionManager.ts:6789-6800</t>
  </si>
  <si>
    <t xml:space="preserve">Reads: document.supports, idMap, sourceTransformsByModelId, import default prefs
Writes: support store, global raft settings</t>
  </si>
  <si>
    <t xml:space="preserve">Mixed — remap and transform-follow are pure data; the store merge and raft settings are global side effects.</t>
  </si>
  <si>
    <t xml:space="preserve">remapModelIdsInPayload, voxlSupportsContainData, mergeFromImportFormat, applyImportDefaultsToSupportPayload, transformSupportsForModel</t>
  </si>
  <si>
    <t xml:space="preserve">None — CLI keeps doc.supports verbatim; the app may alter a saved scene's supports on open according to local prefs, so the next save differs from the file.</t>
  </si>
  <si>
    <t xml:space="preserve">Import defaults change slicing output on reopen; decide whether a VOXL open should apply them at all.</t>
  </si>
  <si>
    <t xml:space="preserve">prepareLoadedSupports({ supports: DragonfruitImportFormat, idMap: Record&lt;string,string&gt;, moves: Array&lt;{ modelId, from: Transform, to: Transform }&gt; }): DragonfruitImportFormat</t>
  </si>
  <si>
    <t xml:space="preserve">Support with modelId 'a' and idMap a-&gt;b -&gt; 'b'; with prefs rootsEnabled=false, check what mergeFromImportFormat does to roots of a reopened scene (pin it), and compare to CLI load of the same file.</t>
  </si>
  <si>
    <t xml:space="preserve">Import defaults from prefs, not parameters</t>
  </si>
  <si>
    <t xml:space="preserve">import-scene-file</t>
  </si>
  <si>
    <t xml:space="preserve">importSceneFile</t>
  </si>
  <si>
    <t xml:space="preserve">Routes one scene file by extension: .voxl → handleImportVoxlFile, other registered scene extension → handleImportPluginSceneFile, else logs and returns false.</t>
  </si>
  <si>
    <t xml:space="preserve">useSceneCollectionManager.ts:6870-6881</t>
  </si>
  <si>
    <t xml:space="preserve">Reads: getSceneExtension (plugin definitions)
Writes: via callees</t>
  </si>
  <si>
    <t xml:space="preserve">Mostly pure — a dispatcher.</t>
  </si>
  <si>
    <t xml:space="preserve">getSceneExtension</t>
  </si>
  <si>
    <t xml:space="preserve">Partial — CLI reads .voxl only.</t>
  </si>
  <si>
    <t xml:space="preserve">useImportExportManager.ts:156 (importSceneFilesWithPluginWarning), page.tsx:4688 (autosave restore with suppressPlacementPrompt+suppressRepair), reopenRecentOpenedFile</t>
  </si>
  <si>
    <t xml:space="preserve">None beyond its callees.</t>
  </si>
  <si>
    <t xml:space="preserve">'x.VOXL' (case) -&gt; voxl path; 'x.lys' with plugin -&gt; plugin; 'x.txt' -&gt; false, no report.</t>
  </si>
  <si>
    <t xml:space="preserve">Autosave restore calls it with suppressRepair, so restored geometry skips native repair (intentional).</t>
  </si>
  <si>
    <t xml:space="preserve">import-scene-files</t>
  </si>
  <si>
    <t xml:space="preserve">importSceneFiles</t>
  </si>
  <si>
    <t xml:space="preserve">Imports several scene files one after another with progress, per-file reports suppressed, then one summary report (all ok / partial / all failed); a single file goes straight to importSceneFile with its source path.</t>
  </si>
  <si>
    <t xml:space="preserve">useSceneCollectionManager.ts:6883-6948</t>
  </si>
  <si>
    <t xml:space="preserve">Reads: getSceneExtension
Writes: importProgress, recentOpenedFiles (once for all), sceneImportReport</t>
  </si>
  <si>
    <t xml:space="preserve">Mostly React — loop + progress + report.</t>
  </si>
  <si>
    <t xml:space="preserve">useImportExportManager.ts:159; page.tsx:876 passes it through</t>
  </si>
  <si>
    <t xml:space="preserve">Placement prompts are NOT suppressed per file in the multi path, so N prompts can appear in sequence.</t>
  </si>
  <si>
    <t xml:space="preserve">Two voxl files, one corrupt -&gt; one partial report with counts 1/2/1; non-scene files filtered out before counting.</t>
  </si>
  <si>
    <t xml:space="preserve">on-import-scene-change</t>
  </si>
  <si>
    <t xml:space="preserve">onImportSceneChange</t>
  </si>
  <si>
    <t xml:space="preserve">File-input change handler: imports the picked files via importSceneFiles and clears the input.</t>
  </si>
  <si>
    <t xml:space="preserve">useSceneCollectionManager.ts:6950-6955</t>
  </si>
  <si>
    <t xml:space="preserve">Reads: event.target.files
Writes: input value</t>
  </si>
  <si>
    <t xml:space="preserve">Mostly React — DOM event plumbing.</t>
  </si>
  <si>
    <t xml:space="preserve">None found — page.tsx passes useImportExportManager.handleImportSceneChangeWithZip to TopBar/EmptySceneState instead (dead return key).</t>
  </si>
  <si>
    <t xml:space="preserve">Med — — grep found no consumer of scene.onImportSceneChange</t>
  </si>
  <si>
    <t xml:space="preserve">None needed; confirm no consumer before deleting.</t>
  </si>
  <si>
    <t xml:space="preserve">plugin-two-step-import-stubs</t>
  </si>
  <si>
    <t xml:space="preserve">Constant stubs: phase is always 'idle', error null, the three handlers undefined. The old two-step (JSON then STL) plugin import was removed; LYS now goes through the 1-step importPluginSceneFile.</t>
  </si>
  <si>
    <t xml:space="preserve">Mostly pure — constants.</t>
  </si>
  <si>
    <t xml:space="preserve">AnalysisPanelStack.tsx:34-38 → IslandScanCard (two-step UI hidden because handlers are undefined); page.tsx:8403, 8427, 8437 read pluginImportPhase==='processing' (always false)</t>
  </si>
  <si>
    <t xml:space="preserve">Dead: removing needs IslandScanCard props and page.tsx progress/empty-state conditions cleaned up.</t>
  </si>
  <si>
    <t xml:space="preserve">None; snapshot IslandScanCard with useTwoStepFlow false.</t>
  </si>
  <si>
    <t xml:space="preserve">helper-name-sanitize</t>
  </si>
  <si>
    <t xml:space="preserve">sanitizeImportedModelDisplayName (module)</t>
  </si>
  <si>
    <t xml:space="preserve">Turns a file/object name into a display name by stripping every trailing '.something' segment; empty -&gt; 'model'.</t>
  </si>
  <si>
    <t xml:space="preserve">Reads: name
Writes: None</t>
  </si>
  <si>
    <t xml:space="preserve">Mostly pure — fully pure.</t>
  </si>
  <si>
    <t xml:space="preserve">None — CLI add-model uses basename(path,'.stl') (one suffix) and load keeps names as stored.</t>
  </si>
  <si>
    <t xml:space="preserve">internal: handleImportPluginSceneFile, handleImportVoxlFile, mesh loaders</t>
  </si>
  <si>
    <t xml:space="preserve">Applied to names already stored in a VOXL, so 'Bracket v1.2' becomes 'Bracket v1' on every open. Decide whether VOXL names should be sanitised at all.</t>
  </si>
  <si>
    <t xml:space="preserve">sanitizeImportedModelDisplayName({ rawName: string }): string</t>
  </si>
  <si>
    <t xml:space="preserve">'a.b.stl' -&gt; 'a'; '.hidden' -&gt; '.hidden'; 'Bracket v1.2' -&gt; 'Bracket v1' (pin, then decide).</t>
  </si>
  <si>
    <t xml:space="preserve">helper-support-payload</t>
  </si>
  <si>
    <t xml:space="preserve">remapModelIdsInPayload, voxlSupportsContainData, countSupportEntries, applyImportDefaultsToRaftState (module)</t>
  </si>
  <si>
    <t xml:space="preserve">remapModelIdsInPayload deep-copies a support payload rewriting every 'modelId' string via a map; voxlSupportsContainData/countSupportEntries walk every registered support collection; applyImportDefaultsToRaftState merges the import-default raft patch into global raft settings without marking them manual.</t>
  </si>
  <si>
    <t xml:space="preserve">useSceneCollectionManager.ts:876-923</t>
  </si>
  <si>
    <t xml:space="preserve">Reads: payload; raft settings + prefs (last one)
Writes: raft settings (last one only)</t>
  </si>
  <si>
    <t xml:space="preserve">Mostly pure — first three are pure data; the raft one writes a global store.</t>
  </si>
  <si>
    <t xml:space="preserve">SUPPORT_COLLECTION_KEYS, getImportDefaultsRaftPatch</t>
  </si>
  <si>
    <t xml:space="preserve">None — CLI counts only 6 collections by hand in `scene load` (misses kickstands/twigs/sticks etc.).</t>
  </si>
  <si>
    <t xml:space="preserve">internal: handleImportVoxlFile, handleImportPluginSceneFile, handleLoadSupportJson, importSupportDataFile</t>
  </si>
  <si>
    <t xml:space="preserve">First three can move to supports/ or voxl/ unchanged and the CLI should use countSupportEntries.</t>
  </si>
  <si>
    <t xml:space="preserve">remapSupportModelIds({ supports: DragonfruitImportFormat, idMap: Record&lt;string,string&gt; }): DragonfruitImportFormat</t>
  </si>
  <si>
    <t xml:space="preserve">Nested modelId in branches remapped, unknown id kept; count over a payload with kickstands equals app count.</t>
  </si>
  <si>
    <t xml:space="preserve">split-model-into-parts</t>
  </si>
  <si>
    <t xml:space="preserve">splitModelIntoParts</t>
  </si>
  <si>
    <t xml:space="preserve">Organic Cut commit: source model becomes part 0, other parts appended as new models ('&lt;name&gt; Cut' or 'Cut N'). Each part keeps its vertices; its position is compensated by R·S·(partCentre - sourceCentre) so nothing moves in world space. One atomic state update + one history step; idle pass computes flattening planes.</t>
  </si>
  <si>
    <t xml:space="preserve">Split and merge geometry</t>
  </si>
  <si>
    <t xml:space="preserve">useSceneCollectionManager.ts:3744-3883</t>
  </si>
  <si>
    <t xml:space="preserve">Reads: modelsRef, activeModelIdRef, selectedModelIdsRef
Writes: models, history</t>
  </si>
  <si>
    <t xml:space="preserve">Mixed — position compensation and naming are pure math/data; bbox/BVH/idle are THREE/plumbing.</t>
  </si>
  <si>
    <t xml:space="preserve">accelerateGeometry, computeFlatteningPlanes, countTriangles. (modelCut.ts is unrelated: it is clipboard cut = copy+delete.)</t>
  </si>
  <si>
    <t xml:space="preserve">Snapshot pair without support state, label from caller (ORGANIC_CUT_LABEL)</t>
  </si>
  <si>
    <t xml:space="preserve">src/app/page.tsx:10378 (useOrganicCutSession commitParts)</t>
  </si>
  <si>
    <t xml:space="preserve">Med — — confirm the Euler mismatch with a test cutting a model rotated about X and Z and comparing world vertex positions before/after</t>
  </si>
  <si>
    <t xml:space="preserve">LIKELY BUG: rotation built with new THREE.Euler(x,y,z) (intrinsic XYZ = Rx·Ry·Rz) while StlMesh renders with quaternionFromGlobalEuler (Rz·Ry·Rx). Same for single-axis rotations, differs for 2+ axes (checked numerically: 4.1 mm off for a 10 mm centre delta at rot (0.5,0.7,0.3)). Also: supports not reassigned/handled, extras lose isSupportGeometry/linkGroupId/plateId, no lock check, meshModifiers put on object only.</t>
  </si>
  <si>
    <t xml:space="preserve">planModelSplit({ source: {id, name, transform, center, groupId?, color}, partCenters: Vec3[], newIds: string[] }): { sourceTransform, parts: {id, name, transform}[] }</t>
  </si>
  <si>
    <t xml:space="preserve">Source at pos P, rot (0.5,0.7,0.3), scale (2,1,1), two parts: world-space vertices of each part equal original world vertices (render transform = quaternionFromGlobalEuler). Names: 2 parts -&gt; 'X Cut'; 3 parts -&gt; 'X Cut 2','X Cut 3'. One undo restores single source. Empty parts -&gt; null.</t>
  </si>
  <si>
    <t xml:space="preserve">useOrganicCutSession history (src/features/organicCut/history)</t>
  </si>
  <si>
    <t xml:space="preserve">No (explicit sourceId)</t>
  </si>
  <si>
    <t xml:space="preserve">split-import-group</t>
  </si>
  <si>
    <t xml:space="preserve">splitImportGroup</t>
  </si>
  <si>
    <t xml:space="preserve">Replaces a multi-body 3MF model with one model per pre-processed body (model.splitBodies), named 'Name (1)', 'Name (2)'...; each copies the source transform, colour, visibility, file info. Selects all new bodies.</t>
  </si>
  <si>
    <t xml:space="preserve">useSceneCollectionManager.ts:4243-4284</t>
  </si>
  <si>
    <t xml:space="preserve">Reads: modelsRef, activeModelIdRef, selectedModelIdsRef, source.splitBodies (THREE geometries made at import)
Writes: models, activeModelId, selectedModelIds; scene history</t>
  </si>
  <si>
    <t xml:space="preserve">Mixed — the model-list rewrite and naming are pure; geometry comes from in-memory splitBodies (THREE, never persisted), transforms are THREE vectors cloned.</t>
  </si>
  <si>
    <t xml:space="preserve">None (countTriangles for polygonCount)</t>
  </si>
  <si>
    <t xml:space="preserve">None — no command; and splitBodies is not saved to VOXL, so the CLI could never do it on a loaded scene.</t>
  </si>
  <si>
    <t xml:space="preserve">pushSceneSnapshotHistory snapshot WITHOUT support state, label splitModelLabel</t>
  </si>
  <si>
    <t xml:space="preserve">src/app/page.tsx handleSplitImportGroup -&gt; ModelManagerPanel onSplitImportGroup (shown only when contextModel.splitBodies)</t>
  </si>
  <si>
    <t xml:space="preserve">Med — — check whether 3MF splitBodies are centered (positions would collapse) and whether supports on the source survive as orphans.</t>
  </si>
  <si>
    <t xml:space="preserve">Depends on transient THREE geometry built at import; not reproducible after save/load. Drops groupId/groupName, plateId, meshModifiers, linkGroupId, ignoreAutoLift, isSupportGeometry of the source; supports on the source model are orphaned (not deleted, not reassigned, not in snapshot). Every body gets the source position — correct only if bodies keep their relative offset in local coords (check processGeometry centering for 3MF bodies).</t>
  </si>
  <si>
    <t xml:space="preserve">planSplitImportBodies({ source: { id; name; transform; plateId?; groupId?; ... }, bodies: { triangleCount }[], newIds: string[] }) =&gt; { removeId; add: ModelSeed[]; selectedModelIds; activeModelId }</t>
  </si>
  <si>
    <t xml:space="preserve">Model with 3 splitBodies -&gt; 3 models named 'X (1..3)' ('.3mf' stripped, case-insensitive), source removed, all selected, first active; &lt;2 bodies -&gt; no-op; record what happens to plateId and to supports owned by the source.</t>
  </si>
  <si>
    <t xml:space="preserve">split-supports</t>
  </si>
  <si>
    <t xml:space="preserve">splitSupports</t>
  </si>
  <si>
    <t xml:space="preserve">Splits a model whose native classify report has model_triangle_count into two models, '&lt;base&gt; (Model)' and '&lt;base&gt; (Supports)' (isSupportGeometry true), each repositioned so the parts stay put in world space; file size split pro-rata; sourcePath cleared. Shows a progress overlay; selects both, model active.</t>
  </si>
  <si>
    <t xml:space="preserve">useSceneCollectionManager.ts:4286-4451</t>
  </si>
  <si>
    <t xml:space="preserve">Reads: modelsRef, activeModelIdRef, selectedModelIdsRef, workspace camera setting higherContrastModelEdges, support store (snapshot)
Writes: importProgress, models, activeModelId, selectedModelIds; scene history; error toast via emitSceneImportReport</t>
  </si>
  <si>
    <t xml:space="preserve">Mixed — triangle-soup slicing and position offsets are in splitClassifiedSupportGeometry (THREE but no React); 4324-4370 builds a fake repair report; 4383-4428 builds the two model records (pure); rest is progress UI, awaits, history.</t>
  </si>
  <si>
    <t xml:space="preserve">splitClassifiedSupports.ts splitClassifiedSupportGeometry</t>
  </si>
  <si>
    <t xml:space="preserve">None — no command. VOXL does persist `classification` and isSupportGeometry, so a CLI path is feasible on raw float soups.</t>
  </si>
  <si>
    <t xml:space="preserve">pushSceneSnapshotHistory with includeSupportState, label splitSupportsLabel</t>
  </si>
  <si>
    <t xml:space="preserve">src/app/page.tsx editor context menu 'split-supports' (enabled when active model has model_triangle_count)</t>
  </si>
  <si>
    <t xml:space="preserve">Split helper uses THREE BufferGeometry + BVH + flattening planes + edge geometry, all needing THREE. Pure core = 'first N*9 floats are model' + offset math, which can be expressed on Float32Array. Drops plateId, groupId/groupName, linkGroupId, meshModifiers of the source. Early `return` inside try still runs finally (fine). getSavedWorkspaceCameraSettings reads storage.</t>
  </si>
  <si>
    <t xml:space="preserve">splitClassifiedSoup({ positions: Float32Array, modelTriangleCount, transform: {position,rotation,scale}, center }) =&gt; { model: { positions; position }, support: { positions; position }, counts } | null</t>
  </si>
  <si>
    <t xml:space="preserve">2-tri soup with model_triangle_count=1 -&gt; model positions=first 9 floats, support=rest; positions offset by (partCenter-origCenter)*scale rotated; counts; fileSizeBytes split by ratio (rounded); names strip .stl/.obj/.3mf; model_triangle_count 0 or &gt;= total -&gt; no-op. Extend splitSupportsVoxlPersistence.test.ts.</t>
  </si>
  <si>
    <t xml:space="preserve">SceneCanvas reads nativeRepairReport.likely_support_geometry for orange tint (comment at 4321).</t>
  </si>
  <si>
    <t xml:space="preserve">No (modelId explicit; page passes activeModelId)</t>
  </si>
  <si>
    <t xml:space="preserve">split-supports-synthetic-report</t>
  </si>
  <si>
    <t xml:space="preserve">splitSupports / mergeSupports inline nativeRepairReport literals</t>
  </si>
  <si>
    <t xml:space="preserve">Builds a fake 'clean' native repair report (all zero defects, fully_repaired) to tag geometry: support half gets likely_support_geometry=true; merged model gets model_triangle_count so it can be split again, plus supportSectionGeometry/modelSectionGeometry.</t>
  </si>
  <si>
    <t xml:space="preserve">useSceneCollectionManager.ts:4324-4370, 4547-4596</t>
  </si>
  <si>
    <t xml:space="preserve">Reads: triangle counts
Writes: geometry.meshDefects (mutates the new GeometryWithBounds)</t>
  </si>
  <si>
    <t xml:space="preserve">Mostly pure — a data literal duplicated twice (pre and post blocks are identical too); only the *SectionGeometry fields are THREE.</t>
  </si>
  <si>
    <t xml:space="preserve">Part of caller's snapshot</t>
  </si>
  <si>
    <t xml:space="preserve">internal: splitSupports, mergeSupports</t>
  </si>
  <si>
    <t xml:space="preserve">Should be one pure factory makeClassificationReport({ modelTriangleCount, supportTriangleCount, likelySupport }). It fakes repair stats; anything reading pre/post as truth (repair report UI, VOXL classification) gets zeros.</t>
  </si>
  <si>
    <t xml:space="preserve">makeSyntheticClassificationReport({ modelTriangleCount?, supportTriangleCount, likelySupportGeometry }) =&gt; NativeRepairReport</t>
  </si>
  <si>
    <t xml:space="preserve">Snapshot the two literals exactly (counts, flags) so the factory reproduces them byte-for-byte.</t>
  </si>
  <si>
    <t xml:space="preserve">VOXL save writes `classification` from this report (ExportManager) — check that a split-then-saved model round-trips its flags.</t>
  </si>
  <si>
    <t xml:space="preserve">merge-supports</t>
  </si>
  <si>
    <t xml:space="preserve">mergeSupports</t>
  </si>
  <si>
    <t xml:space="preserve">Re-joins exactly two selected models into one: picks the non-support one (else active, else first) as base, maps the other's vertices into the base's local space (handles differing transforms), concatenates model-first, recomputes bounds, and repositions so nothing moves in world space. Result is splittable again.</t>
  </si>
  <si>
    <t xml:space="preserve">useSceneCollectionManager.ts:4453-4654</t>
  </si>
  <si>
    <t xml:space="preserve">Reads: selectedModelIdsRef, activeModelIdRef, modelsRef, geometry position arrays and centers
Writes: importProgress, models, activeModelId, selectedModelIds; scene history; error toast</t>
  </si>
  <si>
    <t xml:space="preserve">Mixed — vertex mapping (4479-4512) and concatenation are pure math written with THREE Matrix4/Vector3; geometry construction, normals, bbox are THREE; progress overlay/awaits/history are React.</t>
  </si>
  <si>
    <t xml:space="preserve">None (inverse of splitClassifiedSupportGeometry but not in that file)</t>
  </si>
  <si>
    <t xml:space="preserve">pushSceneSnapshotHistory with includeSupportState, label mergeSupportsLabel</t>
  </si>
  <si>
    <t xml:space="preserve">src/app/page.tsx editor context menu 'merge-supports' (enabled when 2 selected)</t>
  </si>
  <si>
    <t xml:space="preserve">Med — — confirm merged world position math against split (round-trip split-&gt;merge should be identity on positions).</t>
  </si>
  <si>
    <t xml:space="preserve">Implicit selection target must become explicit {baseId, otherId}. Drops plateId, groupId, linkGroupId, meshModifiers; flatteningPlanes/edgeGeometry reused from the base model (stale for merged mesh); sourcePath null. Any two models can be merged, not only a split pair; merging two 'real' models silently marks the second as support triangles. Name strips ' (Model)'.</t>
  </si>
  <si>
    <t xml:space="preserve">mergeClassifiedSoups({ base: { positions; center; transform }, other: { positions; center; transform } }) =&gt; { positions: Float32Array; modelTriangleCount; supportTriangleCount; position: Vec3 }</t>
  </si>
  <si>
    <t xml:space="preserve">split then merge returns same world-space vertices (within 1e-5) and model_triangle_count; differing support transform (moved/rotated support) maps correctly; selection != 2 -&gt; no-op; base choice prefers !isSupportGeometry.</t>
  </si>
  <si>
    <t xml:space="preserve">Yes — the current selection (must be exactly 2), and activeModelId as tie-break. Takes no ids.</t>
  </si>
  <si>
    <t xml:space="preserve">prompt-and-report-types</t>
  </si>
  <si>
    <t xml:space="preserve">SceneImportReport, MeshRepairReportEntry, ModelsRepairProgressSink, SceneImportPlacementPrompt, SceneImportHollowingPrompt, MeshRepairConfirmPrompt, ObsoleteVoxlScenePrompt, PrinterMismatchPrompt</t>
  </si>
  <si>
    <t xml:space="preserve">Exported shapes of the modal prompts and toast reports the manager raises during import/repair.</t>
  </si>
  <si>
    <t xml:space="preserve">Stays in the app (not ADR-0045 scope)</t>
  </si>
  <si>
    <t xml:space="preserve">useSceneCollectionManager.ts:1133-1184, 1262-1305</t>
  </si>
  <si>
    <t xml:space="preserve">Mostly pure — type declarations.</t>
  </si>
  <si>
    <t xml:space="preserve">NotificationStack.tsx, useEditorToasts.ts (SceneImportReport); modals via scene.*</t>
  </si>
  <si>
    <t xml:space="preserve">These are the UI contract; a headless import would return 'decisions needed' instead of awaiting them.</t>
  </si>
  <si>
    <t xml:space="preserve">repair-report-needs-attention</t>
  </si>
  <si>
    <t xml:space="preserve">repairReportNeedsAttention</t>
  </si>
  <si>
    <t xml:space="preserve">Decides whether a mesh repair report is shown to the user: not fully repaired, or any count (vertices, triangles, non-manifold edges, boundary loops, inconsistent edges) went down.</t>
  </si>
  <si>
    <t xml:space="preserve">useSceneCollectionManager.ts:1156-1166</t>
  </si>
  <si>
    <t xml:space="preserve">internal: 3035 (loadFiles)</t>
  </si>
  <si>
    <t xml:space="preserve">Pure.</t>
  </si>
  <si>
    <t xml:space="preserve">repairReportNeedsAttention({ report: MeshHealthReportLike }): boolean</t>
  </si>
  <si>
    <t xml:space="preserve">fully_repaired &amp;&amp; all post&gt;=pre -&gt; false; triangles dropped -&gt; true.</t>
  </si>
  <si>
    <t xml:space="preserve">wait-for-ui-yield</t>
  </si>
  <si>
    <t xml:space="preserve">waitForUiYield</t>
  </si>
  <si>
    <t xml:space="preserve">Promise that resolves after setTimeout(0) so long imports/repairs let React paint progress.</t>
  </si>
  <si>
    <t xml:space="preserve">useSceneCollectionManager.ts:1465-1470</t>
  </si>
  <si>
    <t xml:space="preserve">Mostly React — timer.</t>
  </si>
  <si>
    <t xml:space="preserve">internal: ~20 sites in loadFiles, splitSupports, mergeSupports, imports, deleteModels, plate removal</t>
  </si>
  <si>
    <t xml:space="preserve">Interleaved through every async op; a pure rule must not contain it.</t>
  </si>
  <si>
    <t xml:space="preserve">model-clipboard-state</t>
  </si>
  <si>
    <t xml:space="preserve">modelClipboard, setModelClipboard, canPasteModel</t>
  </si>
  <si>
    <t xml:space="preserve">In-memory model clipboard entries (geometry, transform, colour, modifiers, captured supports). Only canPasteModel (clipboard non-empty) is returned.</t>
  </si>
  <si>
    <t xml:space="preserve">useSceneCollectionManager.ts:1602, 1307-1319 (+ return 8228)</t>
  </si>
  <si>
    <t xml:space="preserve">Reads: React state
Writes: React state</t>
  </si>
  <si>
    <t xml:space="preserve">Mostly React — state holding THREE geometry.</t>
  </si>
  <si>
    <t xml:space="preserve">None — no copy/paste in CLI.</t>
  </si>
  <si>
    <t xml:space="preserve">canPasteModel: page.tsx (5); internal: copy/cut/paste 4938-5590, disposal effect 7463</t>
  </si>
  <si>
    <t xml:space="preserve">Clipboard holds THREE geometry; a headless paste would take source models + support payload explicitly.</t>
  </si>
  <si>
    <t xml:space="preserve">recent-opened-files-state</t>
  </si>
  <si>
    <t xml:space="preserve">recentOpenedFiles, setRecentOpenedFiles</t>
  </si>
  <si>
    <t xml:space="preserve">Recent-files list shown on the empty-scene screen (reopen/clear functions are outside this range: 6957, 7020).</t>
  </si>
  <si>
    <t xml:space="preserve">useSceneCollectionManager.ts:1603</t>
  </si>
  <si>
    <t xml:space="preserve">Reads: React state (loaded at mount effect 1946)
Writes: React state</t>
  </si>
  <si>
    <t xml:space="preserve">readRecentOpenedFilesFromLocalStorage</t>
  </si>
  <si>
    <t xml:space="preserve">page.tsx:877, 10766 (EmptySceneState)</t>
  </si>
  <si>
    <t xml:space="preserve">UI only.</t>
  </si>
  <si>
    <t xml:space="preserve">recent-files</t>
  </si>
  <si>
    <t xml:space="preserve">import-progress-state</t>
  </si>
  <si>
    <t xml:space="preserve">importProgress, setImportProgress</t>
  </si>
  <si>
    <t xml:space="preserve">Progress banner state for mesh/scene imports and support split/merge/scan (label, detail, 0..1).</t>
  </si>
  <si>
    <t xml:space="preserve">useSceneCollectionManager.ts:1604-1610</t>
  </si>
  <si>
    <t xml:space="preserve">page.tsx (8)</t>
  </si>
  <si>
    <t xml:space="preserve">UI only; long ops would take a progress sink.</t>
  </si>
  <si>
    <t xml:space="preserve">emit-scene-import-report</t>
  </si>
  <si>
    <t xml:space="preserve">emitSceneImportReport, sceneImportReport, sceneImportReportTimeoutRef</t>
  </si>
  <si>
    <t xml:space="preserve">Shows a toast report (text, tone, duration default 4.2 s, optional click action) and clears it plus pending repair reports after the duration. sceneImportReport is returned; the emitter is internal.</t>
  </si>
  <si>
    <t xml:space="preserve">useSceneCollectionManager.ts:1611, 1624, 1661-1686</t>
  </si>
  <si>
    <t xml:space="preserve">Reads: sceneImportReportTimeoutRef
Writes: sceneImportReport, pendingMeshRepairReports, timer</t>
  </si>
  <si>
    <t xml:space="preserve">Mostly React — state + window timer.</t>
  </si>
  <si>
    <t xml:space="preserve">n/a — CLI prints to stderr</t>
  </si>
  <si>
    <t xml:space="preserve">sceneImportReport: page.tsx:1329, 11606 (NotificationStack, useEditorToasts); emit internal: ~45 sites (imports, splits, merges, repairs)</t>
  </si>
  <si>
    <t xml:space="preserve">Every op reports by side effect; headless rules should return a report/outcome object and let the app toast it.</t>
  </si>
  <si>
    <t xml:space="preserve">n/a (UI plumbing); ops return { messages: Message[] }</t>
  </si>
  <si>
    <t xml:space="preserve">Timer clearing pendingMeshRepairReports couples toast lifetime to repair report availability.</t>
  </si>
  <si>
    <t xml:space="preserve">obsolete-voxl-prompt</t>
  </si>
  <si>
    <t xml:space="preserve">obsoleteVoxlScene, dismissObsoleteVoxlScene</t>
  </si>
  <si>
    <t xml:space="preserve">Prompt state raised when a scene from an unsupported VOXL generation (v1 json/binary) is opened; dismiss clears it.</t>
  </si>
  <si>
    <t xml:space="preserve">useSceneCollectionManager.ts:1613, 1702-1704</t>
  </si>
  <si>
    <t xml:space="preserve">detectObsoleteVoxlVersion (voxl) at import</t>
  </si>
  <si>
    <t xml:space="preserve">Partial — CLI loadVoxl throws on obsolete versions via the codec (error, no prompt).</t>
  </si>
  <si>
    <t xml:space="preserve">SceneFileModals.tsx (obsoleteVoxlScene x3, dismiss x1)</t>
  </si>
  <si>
    <t xml:space="preserve">Med — — confirm CLI loadVoxl surfaces VoxlObsoleteVersionError</t>
  </si>
  <si>
    <t xml:space="preserve">Prompt state only; detection is already pure in voxl/.</t>
  </si>
  <si>
    <t xml:space="preserve">mesh-repair-reports</t>
  </si>
  <si>
    <t xml:space="preserve">meshRepairReports, meshRepairReportPresentation, pendingMeshRepairReports, manuallyRepairedModelIds, dismissMeshRepairReports</t>
  </si>
  <si>
    <t xml:space="preserve">Repair report dialog state: reports shown, presentation ('default' vs 'optimistic'), reports pending behind a toast click, and which models were repaired by the user (vs at import) so the menu can offer 'Auto-Repair Again'.</t>
  </si>
  <si>
    <t xml:space="preserve">useSceneCollectionManager.ts:1617-1623, 1697-1700</t>
  </si>
  <si>
    <t xml:space="preserve">None for the report state; manuallyRepairedModelIds is NOT in snapshots (undo of a repair edits it explicitly in undoRepairsInPlace).</t>
  </si>
  <si>
    <t xml:space="preserve">MeshRepairModals.tsx (meshRepairReports, presentation, dismiss); page.tsx (manuallyRepairedModelIds x2)</t>
  </si>
  <si>
    <t xml:space="preserve">Med — — check whether undo of a repair via history clears manuallyRepairedModelIds</t>
  </si>
  <si>
    <t xml:space="preserve">manuallyRepairedModelIds is scene-adjacent state outside the snapshot; drifts on generic undo/redo.</t>
  </si>
  <si>
    <t xml:space="preserve">n/a (UI state)</t>
  </si>
  <si>
    <t xml:space="preserve">Repair model, undo via history: is model still listed as manually repaired? (pin current).</t>
  </si>
  <si>
    <t xml:space="preserve">background-geometry-refs</t>
  </si>
  <si>
    <t xml:space="preserve">deferredAccelerationQueueRef, deferredAccelerationProcessingRef, deferredAccelerationPausedRef, deferredDisposalQueueRef, deferredDisposalProcessingRef, pendingFlatteningPlanesRef, pendingAoBakeRef, pendingAoQueueRef, pendingAoGeometriesRef, trackedGeometriesRef</t>
  </si>
  <si>
    <t xml:space="preserve">Bookkeeping for background geometry work: BVH acceleration queue, deferred dispose queue, pending flattening-plane computations, AO bake queue/in-flight set, tracked geometries. Feeds hasPendingBackgroundGeometryWork.</t>
  </si>
  <si>
    <t xml:space="preserve">useSceneCollectionManager.ts:1629-1649</t>
  </si>
  <si>
    <t xml:space="preserve">Reads: refs
Writes: refs</t>
  </si>
  <si>
    <t xml:space="preserve">Mostly React — THREE geometry lifecycle in refs.</t>
  </si>
  <si>
    <t xml:space="preserve">None (consumed by processDeferred* at 2425-2545, AO effect 3948)</t>
  </si>
  <si>
    <t xml:space="preserve">internal: 2425-2545, 3899-4050, 7463-7530</t>
  </si>
  <si>
    <t xml:space="preserve">Pure THREE/worker lifecycle; stays in the app.</t>
  </si>
  <si>
    <t xml:space="preserve">try-revoke-object-url</t>
  </si>
  <si>
    <t xml:space="preserve">tryRevokeObjectUrl</t>
  </si>
  <si>
    <t xml:space="preserve">Revokes a blob: object URL (a model's fileUrl) when a model is deleted or disposed.</t>
  </si>
  <si>
    <t xml:space="preserve">useSceneCollectionManager.ts:1651-1659</t>
  </si>
  <si>
    <t xml:space="preserve">Reads: None
Writes: URL object registry</t>
  </si>
  <si>
    <t xml:space="preserve">Mostly React — browser URL API.</t>
  </si>
  <si>
    <t xml:space="preserve">internal: 4814, 4894 (deleteModels), 7515 (cleanup effect)</t>
  </si>
  <si>
    <t xml:space="preserve">Browser API.</t>
  </si>
  <si>
    <t xml:space="preserve">clear-scene-import-report</t>
  </si>
  <si>
    <t xml:space="preserve">clearSceneImportReport</t>
  </si>
  <si>
    <t xml:space="preserve">Hides the current toast and cancels its timer.</t>
  </si>
  <si>
    <t xml:space="preserve">useSceneCollectionManager.ts:1688-1695</t>
  </si>
  <si>
    <t xml:space="preserve">Reads: sceneImportReportTimeoutRef
Writes: sceneImportReport</t>
  </si>
  <si>
    <t xml:space="preserve">internal: openPendingMeshRepairReports; returned but no external scene.clearSceneImportReport callers found</t>
  </si>
  <si>
    <t xml:space="preserve">open-mesh-repair-report-for-model</t>
  </si>
  <si>
    <t xml:space="preserve">openMeshRepairReportForModel</t>
  </si>
  <si>
    <t xml:space="preserve">Opens the repair dialog for a model from the report stored on its geometry (meshDefects.nativeRepairReport), in 'optimistic' presentation.</t>
  </si>
  <si>
    <t xml:space="preserve">useSceneCollectionManager.ts:1726-1733</t>
  </si>
  <si>
    <t xml:space="preserve">Reads: models
Writes: meshRepairReports, meshRepairReportPresentation</t>
  </si>
  <si>
    <t xml:space="preserve">Mostly React — lookup then setState.</t>
  </si>
  <si>
    <t xml:space="preserve">page.tsx:6345</t>
  </si>
  <si>
    <t xml:space="preserve">No (modelId)</t>
  </si>
  <si>
    <t xml:space="preserve">open-pending-mesh-repair-reports</t>
  </si>
  <si>
    <t xml:space="preserve">openPendingMeshRepairReports</t>
  </si>
  <si>
    <t xml:space="preserve">From the import toast's click, moves pending repair reports into the dialog and clears the toast.</t>
  </si>
  <si>
    <t xml:space="preserve">useSceneCollectionManager.ts:1735-1743</t>
  </si>
  <si>
    <t xml:space="preserve">Reads: pendingMeshRepairReports
Writes: meshRepairReports, pendingMeshRepairReports, sceneImportReport</t>
  </si>
  <si>
    <t xml:space="preserve">page.tsx:11608</t>
  </si>
  <si>
    <t xml:space="preserve">prompt-unmount-cleanup</t>
  </si>
  <si>
    <t xml:space="preserve">useEffect cleanup resolving pending prompts</t>
  </si>
  <si>
    <t xml:space="preserve">On unmount, resolves a pending placement prompt with 'load_as_is' and hollowing prompt with 'bake' so awaiting imports finish.</t>
  </si>
  <si>
    <t xml:space="preserve">useSceneCollectionManager.ts:1825-1838</t>
  </si>
  <si>
    <t xml:space="preserve">Reads: resolver refs
Writes: resolver refs</t>
  </si>
  <si>
    <t xml:space="preserve">Mostly React — effect cleanup.</t>
  </si>
  <si>
    <t xml:space="preserve">Lifecycle only; missing the mesh-repair resolver.</t>
  </si>
  <si>
    <t xml:space="preserve">Unmount during each prompt type; repair confirm currently not released.</t>
  </si>
  <si>
    <t xml:space="preserve">viewer-display-settings</t>
  </si>
  <si>
    <t xml:space="preserve">ambientIntensity, directionalIntensity, materialRoughness, bakedAoIntensity, shaderType, configuredShaderType, matcapVariant, flatUseVertexColors, wireframeThicknessPx, xrayOpacity, heatmapMinAngle, heatmapMaxAngle, heatmapColors, onHeatmapColorChange, preferredMeshColor, hoverTintStrength, selectedTintStrength (+ setters)</t>
  </si>
  <si>
    <t xml:space="preserve">Global viewer appearance: lighting, material, shader mode (viewport) vs shader being configured (settings tab), matcap, wireframe/x-ray, overhang heatmap angles and 5 colours, preferred mesh colour for new models, hover/selected tint. onHeatmapColorChange replaces one heatmap colour.</t>
  </si>
  <si>
    <t xml:space="preserve">useSceneCollectionManager.ts:1840-1845, 1852-1867 (+ return 8230-8270)</t>
  </si>
  <si>
    <t xml:space="preserve">Mostly React — passthrough state; no scene rule except preferredMeshColor seeding new-model colour.</t>
  </si>
  <si>
    <t xml:space="preserve">n/a — not in the scene file; CLI irrelevant.</t>
  </si>
  <si>
    <t xml:space="preserve">page.tsx, MeshSettingsTab.tsx, SettingsModal.tsx, SceneCanvas.tsx, StlMesh.tsx, shaders/mesh/* (~15 files, mostly via page props)</t>
  </si>
  <si>
    <t xml:space="preserve">Should not live in a scene manager at all; a viewer-settings store/hook would remove ~35 returned keys.</t>
  </si>
  <si>
    <t xml:space="preserve">Persisted round-trip (see persist effect); onHeatmapColorChange(2,'#000') changes index 2 only.</t>
  </si>
  <si>
    <t xml:space="preserve">preferredMeshColor is also re-read from localStorage inside loadFiles (2747) rather than from this state.</t>
  </si>
  <si>
    <t xml:space="preserve">viewer-settings</t>
  </si>
  <si>
    <t xml:space="preserve">baked-ao-intensity-sync</t>
  </si>
  <si>
    <t xml:space="preserve">useEffect -&gt; setBakedOcclusionIntensity</t>
  </si>
  <si>
    <t xml:space="preserve">Pushes the AO intensity into the bakedOcclusion module so geometry prep (outside React) bakes with it.</t>
  </si>
  <si>
    <t xml:space="preserve">useSceneCollectionManager.ts:1846-1850</t>
  </si>
  <si>
    <t xml:space="preserve">Reads: bakedAoIntensity
Writes: bakedOcclusion module global</t>
  </si>
  <si>
    <t xml:space="preserve">Mostly React — sync effect to a module global.</t>
  </si>
  <si>
    <t xml:space="preserve">setBakedOcclusionIntensity (bakedOcclusion.ts)</t>
  </si>
  <si>
    <t xml:space="preserve">Module global written from React; geometry prep reads it implicitly.</t>
  </si>
  <si>
    <t xml:space="preserve">n/a (viewer setting)</t>
  </si>
  <si>
    <t xml:space="preserve">bakedOcclusion module global read by processGeometry.</t>
  </si>
  <si>
    <t xml:space="preserve">view3d-settings</t>
  </si>
  <si>
    <t xml:space="preserve">view3dSettings, storedView3dSettings, setView3dSettings</t>
  </si>
  <si>
    <t xml:space="preserve">Build-volume/view settings: stored preferences merged with the active printer's volume, screen resolution and safety margin; with no printer, bounds and out-of-bounds warnings are disabled. setView3dSettings normalises, stores in state and persists.</t>
  </si>
  <si>
    <t xml:space="preserve">useSceneCollectionManager.ts:1868, 1890-1910, 1992-1996</t>
  </si>
  <si>
    <t xml:space="preserve">Reads: storedView3dSettings, activePrinterProfile
Writes: storedView3dSettings, localStorage via saveView3DSettings (+ window event)</t>
  </si>
  <si>
    <t xml:space="preserve">Mixed — the merge is a pure function of (stored, printer); wrapped in useMemo; setter persists.</t>
  </si>
  <si>
    <t xml:space="preserve">normalizeView3DSettings, saveView3DSettings, getSavedView3DSettings (view3dPreferences)</t>
  </si>
  <si>
    <t xml:space="preserve">Partial — CLI hard-codes footprint (218x122, originMode 'center') or derives it from --printer; no originMode option.</t>
  </si>
  <si>
    <t xml:space="preserve">view3dSettings: page.tsx (~50), useArrangeManager (14); setView3dSettings: page.tsx (1)</t>
  </si>
  <si>
    <t xml:space="preserve">originMode lives in a user preference but changes world coordinates of every plate rect; CLI assumes 'center'.</t>
  </si>
  <si>
    <t xml:space="preserve">resolveView3dSettings({ stored: View3DSettings, printer: { buildVolumeMm, display, safetyMarginMm } | null }): View3DSettings</t>
  </si>
  <si>
    <t xml:space="preserve">No printer -&gt; enabled=false, showViolationWarning=false; printer 218x122x260 -&gt; widthMm 218, depthMm 122, maxZMm 260; stored originMode preserved.</t>
  </si>
  <si>
    <t xml:space="preserve">saveView3DSettings dispatches a window CustomEvent (VIEW3D_SETTINGS_EVENT) — check listeners.</t>
  </si>
  <si>
    <t xml:space="preserve">appearance-and-prefs-load-effect</t>
  </si>
  <si>
    <t xml:space="preserve">useEffect (mount: load appearance, recent files, view3d settings)</t>
  </si>
  <si>
    <t xml:space="preserve">On mount, restores persisted appearance into all viewer state, reads the recent-files list, and loads saved View3D settings.</t>
  </si>
  <si>
    <t xml:space="preserve">useSceneCollectionManager.ts:1925-1948</t>
  </si>
  <si>
    <t xml:space="preserve">Reads: localStorage (appearance, recent files, view3d)
Writes: all viewer-settings state, recentOpenedFiles, storedView3dSettings</t>
  </si>
  <si>
    <t xml:space="preserve">Mostly React — mount effect.</t>
  </si>
  <si>
    <t xml:space="preserve">readMeshAppearanceFromLocalStorage, readRecentOpenedFilesFromLocalStorage, getSavedView3DSettings</t>
  </si>
  <si>
    <t xml:space="preserve">Med — — on the first commit the persist effect (1953) runs after this one and writes DEFAULTS to storage before the restored values re-render and are re-written; harmless unless the app dies in between. Verify.</t>
  </si>
  <si>
    <t xml:space="preserve">Storage at mount; first render uses defaults then flips (persist effect writes defaults once before? check order).</t>
  </si>
  <si>
    <t xml:space="preserve">Mount with stored ambient 1.0: final storage and state are 1.0.</t>
  </si>
  <si>
    <t xml:space="preserve">appearance-persist-effect</t>
  </si>
  <si>
    <t xml:space="preserve">useEffect (write appearance)</t>
  </si>
  <si>
    <t xml:space="preserve">Writes the whole appearance record to localStorage whenever any appearance value changes.</t>
  </si>
  <si>
    <t xml:space="preserve">useSceneCollectionManager.ts:1950-1990</t>
  </si>
  <si>
    <t xml:space="preserve">Reads: all appearance state
Writes: localStorage 'mesh-appearance-settings'</t>
  </si>
  <si>
    <t xml:space="preserve">writeMeshAppearanceToLocalStorage</t>
  </si>
  <si>
    <t xml:space="preserve">Storage.</t>
  </si>
  <si>
    <t xml:space="preserve">Change xrayOpacity -&gt; stored record has new value and all others intact.</t>
  </si>
  <si>
    <t xml:space="preserve">mesh-appearance-persistence</t>
  </si>
  <si>
    <t xml:space="preserve">PersistedMeshAppearance, clampNumber, clampHexColor, clampMatcapVariant, clampPersistedMeshShaderType, clampBoolean, clampInt, readMeshAppearanceFromLocalStorage, writeMeshAppearanceToLocalStorage</t>
  </si>
  <si>
    <t xml:space="preserve">Reads/validates/writes the viewer appearance record in localStorage key 'mesh-appearance-settings' (shader, matcap, lights, roughness, AO, wireframe, x-ray, heatmap angles/colours, mesh colour, tint strengths), clamping each to a range with defaults.</t>
  </si>
  <si>
    <t xml:space="preserve">useSceneCollectionManager.ts:197-218, 603-678</t>
  </si>
  <si>
    <t xml:space="preserve">Reads: window.localStorage
Writes: window.localStorage</t>
  </si>
  <si>
    <t xml:space="preserve">Mixed — clamp/validate is pure; read/write are storage.</t>
  </si>
  <si>
    <t xml:space="preserve">MESH_SHADER_TYPES</t>
  </si>
  <si>
    <t xml:space="preserve">None (viewer-only, not in scene file)</t>
  </si>
  <si>
    <t xml:space="preserve">internal: read 1926 (load effect), 2747 (loadFiles reads meshColor for new models); write 1954 (persist effect); clampHexColor also 7089 (setMeshColor)</t>
  </si>
  <si>
    <t xml:space="preserve">Browser storage. Not a scene rule except that the preferred mesh colour seeds new model colour on import.</t>
  </si>
  <si>
    <t xml:space="preserve">parseMeshAppearance({ raw: unknown }): PersistedMeshAppearance  // pure validator; storage stays in app</t>
  </si>
  <si>
    <t xml:space="preserve">Corrupt JSON -&gt; null; ambient 9 -&gt; 4; heatmapColors of length 4 -&gt; defaults; configuredShaderType missing -&gt; falls back to shaderType; clampInt is unused.</t>
  </si>
  <si>
    <t xml:space="preserve">loadFiles reads localStorage autoLift/liftDistance keys directly (2740-2745), a second hidden coupling to useTransformManager's storage.</t>
  </si>
  <si>
    <t xml:space="preserve">app-mode</t>
  </si>
  <si>
    <t xml:space="preserve">mode, setMode</t>
  </si>
  <si>
    <t xml:space="preserve">Global application mode (SupportMode: 'prepare' etc.).</t>
  </si>
  <si>
    <t xml:space="preserve">useSceneCollectionManager.ts:1998-1999</t>
  </si>
  <si>
    <t xml:space="preserve">~185 uses: page.tsx (138), useImportExportManager (14), SharedPanelStack (12), usePrintingPreviewManager (8), PrintingModals, managers</t>
  </si>
  <si>
    <t xml:space="preserve">UI mode; unrelated to scene data.</t>
  </si>
  <si>
    <t xml:space="preserve">scene-tuning-constants</t>
  </si>
  <si>
    <t xml:space="preserve">AO_BAKE_CONCURRENCY, VOXL_BUILD_CONCURRENCY, MAX_PASTE_PLATES, MAX_IMPORT_PLATES, IMPORT_ARRANGE_SPACING_MM, DEFAULT_* appearance, SCENE_HISTORY_MAX_*, MODIFIER_HISTORY_MERGE_WINDOW_MS</t>
  </si>
  <si>
    <t xml:space="preserve">Module constants that encode scene rules: max beds a paste/import may add (32), import arrange gap (10 mm), history caps (200 snapshots / 300 MB geometry), modifier-edit merge window (1 s), concurrency of AO bakes (2) and VOXL mesh builds (4), default viewer appearance values.</t>
  </si>
  <si>
    <t xml:space="preserve">useSceneCollectionManager.ts:220-291</t>
  </si>
  <si>
    <t xml:space="preserve">Mostly pure — plain numbers; only the concurrency ones are runtime plumbing.</t>
  </si>
  <si>
    <t xml:space="preserve">None — CLI has its own literals (arrange spacing 2 mm, 218x122 bed defaults).</t>
  </si>
  <si>
    <t xml:space="preserve">None (history caps feed storeSceneSnapshotPair)</t>
  </si>
  <si>
    <t xml:space="preserve">internal: MAX_PASTE_PLATES@5443 (pasteCopiedModelsAutoArrange), MAX_IMPORT_PLATES@6124 + IMPORT_ARRANGE_SPACING_MM@6106 (plugin import), MODIFIER_HISTORY_MERGE_WINDOW_MS@4123 (setModelMeshModifiers), AO_BAKE_CONCURRENCY@4047, VOXL_BUILD_CONCURRENCY@6437</t>
  </si>
  <si>
    <t xml:space="preserve">None; the rule-bearing ones (plate caps, import spacing) should move with the rules that use them. DEFAULT_HOVER/SELECTED_TINT_STRENGTH are duplicated as literals in SettingsModal.tsx:148-149.</t>
  </si>
  <si>
    <t xml:space="preserve">n/a (constants; export MAX_*_PLATES / IMPORT_ARRANGE_SPACING_MM from the future placement module)</t>
  </si>
  <si>
    <t xml:space="preserve">None needed on their own; covered by the paste/import placement pretests (a copy larger than a bed must not add more than 32 beds).</t>
  </si>
  <si>
    <t xml:space="preserve">schedule-post-paint</t>
  </si>
  <si>
    <t xml:space="preserve">schedulePostPaint</t>
  </si>
  <si>
    <t xml:space="preserve">setTimeout(0) wrapper used to run history pushes after React paints.</t>
  </si>
  <si>
    <t xml:space="preserve">useSceneCollectionManager.ts:431-437</t>
  </si>
  <si>
    <t xml:space="preserve">Reads: window
Writes: None</t>
  </si>
  <si>
    <t xml:space="preserve">Mostly React — timer plumbing.</t>
  </si>
  <si>
    <t xml:space="preserve">Delays history push for paste/duplicate.</t>
  </si>
  <si>
    <t xml:space="preserve">internal: 5042 (pasteModel), 5541 (pasteCopiedModelsAutoArrange)</t>
  </si>
  <si>
    <t xml:space="preserve">UI timing only.</t>
  </si>
  <si>
    <t xml:space="preserve">paint-model-base-color</t>
  </si>
  <si>
    <t xml:space="preserve">paintModelBaseColor</t>
  </si>
  <si>
    <t xml:space="preserve">When a model has vertex colours, repaints them all to one flat colour (used by colour change and when undo restores a different colour).</t>
  </si>
  <si>
    <t xml:space="preserve">useSceneCollectionManager.ts:473-480</t>
  </si>
  <si>
    <t xml:space="preserve">Reads: model.geometry.geometry color attribute
Writes: Mutates geometry color attribute in place</t>
  </si>
  <si>
    <t xml:space="preserve">Mostly React — mutates a THREE BufferGeometry in place; no rule beyond 'only if colour attribute exists'.</t>
  </si>
  <si>
    <t xml:space="preserve">clearPaintToBase (MeshPainter)</t>
  </si>
  <si>
    <t xml:space="preserve">None — CLI only writes color field.</t>
  </si>
  <si>
    <t xml:space="preserve">Indirect: applySceneSnapshot repaints on undo because geometry is shared between snapshots.</t>
  </si>
  <si>
    <t xml:space="preserve">internal: 2291 (applySceneSnapshot), 7096 (setMeshColor)</t>
  </si>
  <si>
    <t xml:space="preserve">THREE geometry mutation; the data rule (model.color) is separate and trivial.</t>
  </si>
  <si>
    <t xml:space="preserve">n/a (geometry side effect; the pure part is setModelColor({ models, modelId, color }))</t>
  </si>
  <si>
    <t xml:space="preserve">Undo of colour change restores vertex colours (sceneEditHistory.dom-test 'colouring the active model' already covers part).</t>
  </si>
  <si>
    <t xml:space="preserve">No (takes model)</t>
  </si>
  <si>
    <t xml:space="preserve">recent-files-storage</t>
  </si>
  <si>
    <t xml:space="preserve">RecentOpenedFileEntry, RecentOpenedFileBlobRecord, openRecentFilesDb, putRecentOpenedFileBlob, deleteRecentOpenedFileBlobs, readRecentOpenedFileBlob, readRecentOpenedFilesFromLocalStorage, writeRecentOpenedFilesToLocalStorage</t>
  </si>
  <si>
    <t xml:space="preserve">Recent-files list (localStorage 'app-recent-opened-files', max 10, validated) plus file bytes cached in IndexedDB 'dragonfruit-recent-files' so a file can be reopened.</t>
  </si>
  <si>
    <t xml:space="preserve">useSceneCollectionManager.ts:582-601, 680-843</t>
  </si>
  <si>
    <t xml:space="preserve">Reads: localStorage, indexedDB
Writes: localStorage, indexedDB</t>
  </si>
  <si>
    <t xml:space="preserve">Mostly React — browser storage; only list validation is pure.</t>
  </si>
  <si>
    <t xml:space="preserve">None (app-only)</t>
  </si>
  <si>
    <t xml:space="preserve">internal: put 2613 / delete 2627, 7025 (trackRecentOpenedFiles, clearRecentOpenedFiles); read 6984 (reopenRecentOpenedFile); list read 1946; RecentOpenedFileEntry type used by EmptySceneState.tsx</t>
  </si>
  <si>
    <t xml:space="preserve">Storage; not a scene rule.</t>
  </si>
  <si>
    <t xml:space="preserve">List parse drops entries without id/name/kind, caps at 10.</t>
  </si>
  <si>
    <t xml:space="preserve">selection-state-passthrough</t>
  </si>
  <si>
    <t xml:space="preserve">setSelectedModelIds (raw setter), selectedModelIds</t>
  </si>
  <si>
    <t xml:space="preserve">Raw React setter for the selected model ids, exposed so callers can set arbitrary selections (range select, Ctrl+A visible, export-prep select-all, post-delete fallback).</t>
  </si>
  <si>
    <t xml:space="preserve">useSceneCollectionManager.ts:1474 (state); return key 8143</t>
  </si>
  <si>
    <t xml:space="preserve">Reads: —
Writes: selectedModelIds</t>
  </si>
  <si>
    <t xml:space="preserve">Mostly React — passthrough setter</t>
  </si>
  <si>
    <t xml:space="preserve">Partial — VOXL scene.selectedModelIds is written by the CLI save but no command sets it</t>
  </si>
  <si>
    <t xml:space="preserve">src/app/page.tsx (13), src/features/import-export/useImportExportManager.ts (2: thumbnail/export capture and restore)</t>
  </si>
  <si>
    <t xml:space="preserve">Bypasses the plate-lock guard selectModel enforces, and does not touch activeModelId (callers pair it with setActiveModelId themselves). Selection rules are spread between page.tsx and the hook.</t>
  </si>
  <si>
    <t xml:space="preserve">Ctrl+A hotkey in page.tsx (visibleIds at 8188/9930)</t>
  </si>
  <si>
    <t xml:space="preserve">clone-geometry-with-bounds</t>
  </si>
  <si>
    <t xml:space="preserve">cloneGeometryWithBounds</t>
  </si>
  <si>
    <t xml:space="preserve">Copies a GeometryWithBounds for paste/duplicate/import. shared:true reuses the same BufferGeometry (no copy) but clones bbox/center/size/flattening planes; otherwise clones the BufferGeometry and builds a BVH (accelerate default true). Both stamp userData.resinVolumeSourceKey so resin-volume caching treats copies as the same source.</t>
  </si>
  <si>
    <t xml:space="preserve">useSceneCollectionManager.ts:2371-2423</t>
  </si>
  <si>
    <t xml:space="preserve">Reads: source geometry userData/uuid
Writes: source.geometry.userData (mutated: resinVolumeSourceKey), new geometry + BVH</t>
  </si>
  <si>
    <t xml:space="preserve">Mostly React — no React state, but it is all THREE object cloning and BVH building; mutates the source's userData</t>
  </si>
  <si>
    <t xml:space="preserve">accelerateGeometry (utils/bvh)</t>
  </si>
  <si>
    <t xml:space="preserve">None — CLI duplicate copies the VOXL entry and its mesh reference, no geometry</t>
  </si>
  <si>
    <t xml:space="preserve">internal: pasteModel (5015), pasteCopiedModelsAutoArrange (5507), duplicateModelWithTransforms (5623), replaceModelGeometry (via 5067/5586/5719 deps), handleImportVoxlFile (6524)</t>
  </si>
  <si>
    <t xml:space="preserve">Not a scene rule — geometry lifecycle. Belongs in a THREE-side util, not a pure module. Side effect on the source's userData is easy to miss.</t>
  </si>
  <si>
    <t xml:space="preserve">n/a (geometry plumbing; move to a geometry util, not a pure scene module)</t>
  </si>
  <si>
    <t xml:space="preserve">shared:true returns the same geometry object, distinct bbox objects; both share resinVolumeSourceKey equal to source uuid when unset. Non-shared returns new geometry with BVH unless accelerate:false.</t>
  </si>
  <si>
    <t xml:space="preserve">resinVolumeSourceKey is read by the resin-volume/stats code to share cached volumes</t>
  </si>
  <si>
    <t xml:space="preserve">deferred-acceleration-queue</t>
  </si>
  <si>
    <t xml:space="preserve">processDeferredAccelerationQueue, deferAccelerateGeometry</t>
  </si>
  <si>
    <t xml:space="preserve">Queues BVH (bounding-volume hierarchy, a raycast speed-up) builds and drains them one per idle callback (requestIdleCallback timeout 120ms, else setTimeout 16ms), stopping while paused.</t>
  </si>
  <si>
    <t xml:space="preserve">useSceneCollectionManager.ts:2425-2470</t>
  </si>
  <si>
    <t xml:space="preserve">Reads: deferredAccelerationQueueRef, deferredAccelerationProcessingRef, deferredAccelerationPausedRef
Writes: same refs; geometry boundsTree</t>
  </si>
  <si>
    <t xml:space="preserve">Mostly React — refs + idle scheduling around one accelerateGeometry call</t>
  </si>
  <si>
    <t xml:space="preserve">None — not needed headless</t>
  </si>
  <si>
    <t xml:space="preserve">internal: replaceModelGeometry (3575, 3664), finalizeModelGeometryPostProcessing (4058, 4080)</t>
  </si>
  <si>
    <t xml:space="preserve">Pure scheduling infrastructure; no scene rule. Could become a small scheduler class outside the hook. Uses window.requestIdleCallback.</t>
  </si>
  <si>
    <t xml:space="preserve">Queue 3 geometries -&gt; all accelerated across 3 idle ticks; pause mid-way -&gt; stops, unpause -&gt; resumes; processing flag clears when queue empties.</t>
  </si>
  <si>
    <t xml:space="preserve">set-background-geometry-work-paused</t>
  </si>
  <si>
    <t xml:space="preserve">setBackgroundGeometryWorkPaused</t>
  </si>
  <si>
    <t xml:space="preserve">Pauses/resumes the BVH queue (only that queue, not disposal). page.tsx pauses on camera move and resumes 140 ms after the camera stops, so background work does not stutter orbiting.</t>
  </si>
  <si>
    <t xml:space="preserve">useSceneCollectionManager.ts:2472-2477</t>
  </si>
  <si>
    <t xml:space="preserve">Reads: deferredAccelerationPausedRef
Writes: deferredAccelerationPausedRef; restarts queue</t>
  </si>
  <si>
    <t xml:space="preserve">Mostly React — ref toggle</t>
  </si>
  <si>
    <t xml:space="preserve">src/app/page.tsx (handleCameraChange/handleCameraEnd/unmount, 9412-9431)</t>
  </si>
  <si>
    <t xml:space="preserve">UI plumbing. Name says 'background geometry work' but disposal, flattening planes and AO bakes ignore the pause.</t>
  </si>
  <si>
    <t xml:space="preserve">Paused -&gt; deferAccelerate queues but builds nothing; unpause -&gt; drains.</t>
  </si>
  <si>
    <t xml:space="preserve">Camera controls onChange/onEnd in SceneCanvas -&gt; page.tsx handlers</t>
  </si>
  <si>
    <t xml:space="preserve">has-pending-background-geometry-work</t>
  </si>
  <si>
    <t xml:space="preserve">hasPendingBackgroundGeometryWork</t>
  </si>
  <si>
    <t xml:space="preserve">Reports whether any deferred geometry work is still queued or running: BVH builds, disposals, flattening-plane computations, AO (ambient occlusion) bakes or the AO queue. Lets the UI keep a 'finalizing' spinner until the app is actually responsive.</t>
  </si>
  <si>
    <t xml:space="preserve">useSceneCollectionManager.ts:2487-2495</t>
  </si>
  <si>
    <t xml:space="preserve">Reads: deferredAcceleration*Ref, deferredDisposal*Ref, pendingFlatteningPlanesRef, pendingAoBakeRef, pendingAoQueueRef
Writes: none</t>
  </si>
  <si>
    <t xml:space="preserve">Mostly React — boolean over refs</t>
  </si>
  <si>
    <t xml:space="preserve">src/app/page.tsx (1362), src/features/hollowing/useModifierApplyOverlay.ts (polled drain-watcher)</t>
  </si>
  <si>
    <t xml:space="preserve">UI plumbing. The AO effect clears pendingAoQueueRef before early returns specifically so this does not stick true.</t>
  </si>
  <si>
    <t xml:space="preserve">False at rest; true while any counter &gt; 0; returns to false after AO setting set to 0 (queue cleared).</t>
  </si>
  <si>
    <t xml:space="preserve">Polled on an interval by useModifierApplyOverlay</t>
  </si>
  <si>
    <t xml:space="preserve">deferred-disposal-queue</t>
  </si>
  <si>
    <t xml:space="preserve">processDeferredDisposalQueue, deferDisposeGeometries</t>
  </si>
  <si>
    <t xml:space="preserve">Queues BufferGeometries no longer referenced by models, clipboard or any undo snapshot, and frees their BVH and GPU buffers one per idle tick, swallowing errors.</t>
  </si>
  <si>
    <t xml:space="preserve">useSceneCollectionManager.ts:2497-2545</t>
  </si>
  <si>
    <t xml:space="preserve">Reads: deferredDisposalQueueRef, deferredDisposalProcessingRef
Writes: same refs; disposes geometry</t>
  </si>
  <si>
    <t xml:space="preserve">Mostly React — refs + idle scheduling</t>
  </si>
  <si>
    <t xml:space="preserve">disposeGeometryBVH (utils/bvh)</t>
  </si>
  <si>
    <t xml:space="preserve">Indirect: geometry held by sceneSnapshotRegistry is not disposed (the caller effect at ~7462 includes registry geometry in the live set), so undo can bring it back</t>
  </si>
  <si>
    <t xml:space="preserve">internal: tracked-geometries effect (7485)</t>
  </si>
  <si>
    <t xml:space="preserve">Infrastructure. The 'is this geometry still live' set (models + clipboard + registry) is the real rule and lives in the effect at ~7462, outside this range. Not affected by the pause flag.</t>
  </si>
  <si>
    <t xml:space="preserve">n/a (UI plumbing); the liveness rule could be geometriesToRelease({ previous, models, clipboard, snapshots }) in a THREE-side util</t>
  </si>
  <si>
    <t xml:space="preserve">A geometry removed from models but still in a snapshot is NOT disposed; after eviction it is disposed on the next models change.</t>
  </si>
  <si>
    <t xml:space="preserve">track-recent-opened-files</t>
  </si>
  <si>
    <t xml:space="preserve">trackRecentOpenedFiles</t>
  </si>
  <si>
    <t xml:space="preserve">Adds opened files to the Recent list: dedups by kind+name+sourcePath when a disk path is known, else kind+name+size (and path for scenes); moves the match to the end keeping its id; caps at 10; persists to localStorage and caches file bytes in IndexedDB, deleting blobs for dropped duplicates/overflow.</t>
  </si>
  <si>
    <t xml:space="preserve">useSceneCollectionManager.ts:2547-2632</t>
  </si>
  <si>
    <t xml:space="preserve">Reads: recentOpenedFiles (via setState updater), Date.now()
Writes: setRecentOpenedFiles, localStorage 'app-recent-opened-files', IndexedDB 'dragonfruit-recent-files' (put/delete blobs)</t>
  </si>
  <si>
    <t xml:space="preserve">Mixed — the merge/dedup/cap list rule (~50 lines) is pure; side effects (IndexedDB put/delete, localStorage write) run inside a React setState updater, which is impure and runs twice under StrictMode</t>
  </si>
  <si>
    <t xml:space="preserve">putRecentOpenedFileBlob, deleteRecentOpenedFileBlobs, writeRecentOpenedFilesToLocalStorage (module-level)</t>
  </si>
  <si>
    <t xml:space="preserve">None — not applicable to the VOXL doc</t>
  </si>
  <si>
    <t xml:space="preserve">internal: loadFiles (2734), handleImportPluginSceneFile (5758, 6286), handleImportVoxlFile (6868), importSceneFiles (6948)</t>
  </si>
  <si>
    <t xml:space="preserve">Not a scene rule (app preference), but the merge is easily made pure. Side effects in a setState updater should move out regardless. uuidv4 and Date.now need injecting.</t>
  </si>
  <si>
    <t xml:space="preserve">mergeRecentOpenedFiles({ entries: RecentOpenedFileEntry[]; opened: { name: string; kind: 'mesh'|'scene'; sourcePath?: string; sizeBytes?: number }[]; now: number; limit: number; newId: () =&gt; string }) =&gt; { entries: RecentOpenedFileEntry[]; releasedBlobIds: string[] }</t>
  </si>
  <si>
    <t xml:space="preserve">Same path, different size -&gt; one entry, id kept, moved to end. No path, same name+size -&gt; dedup. Scene with/without path differ -&gt; two entries. 11th entry -&gt; oldest dropped and its blob id released. Blank name skipped. Two prior duplicates -&gt; collapse to one, other id released.</t>
  </si>
  <si>
    <t xml:space="preserve">Recent list read at mount (1946) and by reopenRecentOpenedFile -&gt; loadFiles/importSceneFile</t>
  </si>
  <si>
    <t xml:space="preserve">active-model</t>
  </si>
  <si>
    <t xml:space="preserve">activeModel (memo) + derived return keys geom, polygonCount</t>
  </si>
  <si>
    <t xml:space="preserve">The model whose id is activeModelId, with meshModifiers re-attached from the external modifier store (models never carry them). Return object also exposes geom = activeModel.geometry and polygonCount.</t>
  </si>
  <si>
    <t xml:space="preserve">useSceneCollectionManager.ts:2636-2642 (return keys 8147, 8155-8156)</t>
  </si>
  <si>
    <t xml:space="preserve">Reads: models, activeModelId, meshModifierStore (getStoredMeshModifiers)
Writes: none</t>
  </si>
  <si>
    <t xml:space="preserve">Mostly pure — a find + merge inside useMemo; the store read is not a memo dependency so modifier changes alone do not recompute it (setModelMeshModifiers bumps models to force a re-render)</t>
  </si>
  <si>
    <t xml:space="preserve">getStoredMeshModifiers (mesh-modifiers/meshModifierStore)</t>
  </si>
  <si>
    <t xml:space="preserve">Partial — VOXL has scene.activeModelId; no command resolves an 'active model' (commands take --id)</t>
  </si>
  <si>
    <t xml:space="preserve">src/app/page.tsx (~61 refs), useHolePunchManager.ts (~43), useHollowingManager.ts (~25), useArrangeManager.ts, SlicingPanel.tsx, ExportPanelStack.tsx, +4 (PreparePanelStack, SharedPanelStack, SceneOverlays, ExportPanel)</t>
  </si>
  <si>
    <t xml:space="preserve">This is the main source of implicit targets downstream: hollowing and hole-punch managers act on scene.activeModel. Extraction is trivial; the work is making those consumers pass explicit ids. Hidden dependency on the module modifier store.</t>
  </si>
  <si>
    <t xml:space="preserve">resolveModelWithModifiers({ models: {id}[]; modelId: string|null; modifiersById: (id) =&gt; ModelMeshModifiers|undefined }) =&gt; model|null</t>
  </si>
  <si>
    <t xml:space="preserve">activeModelId missing from models -&gt; null. Modifiers stored -&gt; returned object has them, models array object does not. No stored modifiers -&gt; same object identity.</t>
  </si>
  <si>
    <t xml:space="preserve">Yes — is the 'active model' context itself</t>
  </si>
  <si>
    <t xml:space="preserve">prune-selection-effect</t>
  </si>
  <si>
    <t xml:space="preserve">useEffect (prune selection to existing models)</t>
  </si>
  <si>
    <t xml:space="preserve">Whenever models or activeModelId change, drops selected ids that no longer exist and clears activeModelId if its model is gone.</t>
  </si>
  <si>
    <t xml:space="preserve">useSceneCollectionManager.ts:2644-2650</t>
  </si>
  <si>
    <t xml:space="preserve">Reads: models, activeModelId
Writes: setSelectedModelIds, setActiveModelId</t>
  </si>
  <si>
    <t xml:space="preserve">Mostly React — 4 lines of rule run as a post-render effect; always produces a new selectedModelIds array (filter) so it re-renders after every models change</t>
  </si>
  <si>
    <t xml:space="preserve">Partial — remove-model prunes activeModelId and selectedModelIds for the removed id; other commands (ungroup, etc.) do not prune</t>
  </si>
  <si>
    <t xml:space="preserve">None (runs after undo too, as a consequence)</t>
  </si>
  <si>
    <t xml:space="preserve">internal: effect</t>
  </si>
  <si>
    <t xml:space="preserve">Reactive fix-up rather than done by each deleter; an extracted delete rule should return the pruned selection itself so the CLI gets it too. One render where selection points at missing models.</t>
  </si>
  <si>
    <t xml:space="preserve">pruneSelection({ modelIds: readonly string[]; selectedModelIds: readonly string[]; activeModelId: string|null }) =&gt; { selectedModelIds: string[]; activeModelId: string|null }</t>
  </si>
  <si>
    <t xml:space="preserve">Models [a,b], selected [a,c], active c -&gt; selected [a], active null. Empty models -&gt; both cleared. Order preserved.</t>
  </si>
  <si>
    <t xml:space="preserve">select-model</t>
  </si>
  <si>
    <t xml:space="preserve">selectModel</t>
  </si>
  <si>
    <t xml:space="preserve">Selection gesture on one model: refuses (and reports through onBlockedByLock) if the model's plate is locked; otherwise makes it active and either replaces the selection (single), adds it (add) or toggles it (toggle).</t>
  </si>
  <si>
    <t xml:space="preserve">useSceneCollectionManager.ts:2652-2670</t>
  </si>
  <si>
    <t xml:space="preserve">Reads: modelsRef.current, lockedPlateIdsRef (via isModelPlateLocked/lockedPlateIdFor), plateFramesRef
Writes: setActiveModelId, setSelectedModelIds; calls onBlockedByLockRef</t>
  </si>
  <si>
    <t xml:space="preserve">Mostly pure — lock check and selection-mode math are pure; setState + callback ref are plumbing. Note toggle-off still sets activeModelId to the deselected id</t>
  </si>
  <si>
    <t xml:space="preserve">resolveModelPlateId (plateLayout) via isModelPlateLocked/lockedPlateIdFor</t>
  </si>
  <si>
    <t xml:space="preserve">None — no select command; CLI writes activeModelId only on add-model</t>
  </si>
  <si>
    <t xml:space="preserve">None (selection is not undoable on its own; it rides in snapshots)</t>
  </si>
  <si>
    <t xml:space="preserve">src/app/page.tsx (7 calls: model click, list click, auto-select-sole-model effects at 8225/8236)</t>
  </si>
  <si>
    <t xml:space="preserve">Lock is enforced here, not in setSelectedModelIds, so page.tsx paths that call setSelectedModelIds directly (range select, Ctrl+A, export prep) bypass the lock (the plateLocked effect clears selection only for the ACTIVE plate). Toggle-off leaving active = deselected id looks like a bug — pin current behaviour first.</t>
  </si>
  <si>
    <t xml:space="preserve">applySelectionGesture({ selection: { activeModelId: string|null; selectedModelIds: string[] }; modelId: string; mode: 'single'|'add'|'toggle'; modelPlateId: string; lockedPlateIds: readonly string[] }) =&gt; { blockedByPlateId: string } | { activeModelId: string; selectedModelIds: string[] }</t>
  </si>
  <si>
    <t xml:space="preserve">single on [a,b] -&gt; [x]; add existing -&gt; unchanged; toggle selected -&gt; removed but active = that id; locked plate -&gt; no change + callback with that plate id.</t>
  </si>
  <si>
    <t xml:space="preserve">Viewport click handlers in SceneCanvas -&gt; page.tsx handleModelClick; model list in panels</t>
  </si>
  <si>
    <t xml:space="preserve">No — takes id; but reads current selection to compute the next one</t>
  </si>
  <si>
    <t xml:space="preserve">clear-selection-on-plate-lock</t>
  </si>
  <si>
    <t xml:space="preserve">useEffect (plateLocked -&gt; clear selection)</t>
  </si>
  <si>
    <t xml:space="preserve">When the active plate becomes locked, empties the model selection (activeModelId is left as is).</t>
  </si>
  <si>
    <t xml:space="preserve">useSceneCollectionManager.ts:2675-2678</t>
  </si>
  <si>
    <t xml:space="preserve">Reads: plateLocked (lockedPlateIds includes activePlateId)
Writes: setSelectedModelIds</t>
  </si>
  <si>
    <t xml:space="preserve">Mostly React — reactive effect; clears the whole selection, including models on other unlocked plates</t>
  </si>
  <si>
    <t xml:space="preserve">None — lock is session-only, not in the file</t>
  </si>
  <si>
    <t xml:space="preserve">Implicit active-plate target; also fires when switching to an already-locked plate. Rule would be better as 'drop selected models whose plate is locked'.</t>
  </si>
  <si>
    <t xml:space="preserve">selectionWithoutLockedModels({ selectedModelIds; modelPlateIdById: Record&lt;string,string&gt;; lockedPlateIds }) =&gt; string[]</t>
  </si>
  <si>
    <t xml:space="preserve">Lock active plate with selection on plate 2 -&gt; currently cleared too (pin). activeModelId unchanged.</t>
  </si>
  <si>
    <t xml:space="preserve">setPlateLocked (1514) from plate toolbar UI</t>
  </si>
  <si>
    <t xml:space="preserve">Yes — the active plate</t>
  </si>
  <si>
    <t xml:space="preserve">clear-model-selection</t>
  </si>
  <si>
    <t xml:space="preserve">clearModelSelection</t>
  </si>
  <si>
    <t xml:space="preserve">Empties the selection and clears the active model (no-ops when already empty to avoid re-renders).</t>
  </si>
  <si>
    <t xml:space="preserve">useSceneCollectionManager.ts:2680-2683</t>
  </si>
  <si>
    <t xml:space="preserve">Reads: selectedModelIds, activeModelId (via updaters)
Writes: setSelectedModelIds, setActiveModelId</t>
  </si>
  <si>
    <t xml:space="preserve">Mostly React — two guarded setters</t>
  </si>
  <si>
    <t xml:space="preserve">src/app/page.tsx (4: empty-space click, Escape, selection fixups at 8329)</t>
  </si>
  <si>
    <t xml:space="preserve">Trivial; nothing to extract.</t>
  </si>
  <si>
    <t xml:space="preserve">Already empty -&gt; no state change (same references).</t>
  </si>
  <si>
    <t xml:space="preserve">Escape hotkey / background click in page.tsx</t>
  </si>
  <si>
    <t xml:space="preserve">clear-support-selection-on-mode</t>
  </si>
  <si>
    <t xml:space="preserve">useEffect (mode !== 'support' -&gt; clearSupportSelection)</t>
  </si>
  <si>
    <t xml:space="preserve">Leaving the Support workspace clears the support selection held in the supports selection controller.</t>
  </si>
  <si>
    <t xml:space="preserve">useSceneCollectionManager.ts:2686-2690</t>
  </si>
  <si>
    <t xml:space="preserve">Reads: mode
Writes: supports selectionController (module store)</t>
  </si>
  <si>
    <t xml:space="preserve">Mostly React — workspace-change side effect</t>
  </si>
  <si>
    <t xml:space="preserve">clearSupportSelection (supports/interaction/shared/selection/selectionController)</t>
  </si>
  <si>
    <t xml:space="preserve">UI rule; arguably belongs with the support workspace, not the scene manager. Also fires on mount (mode 'prepare').</t>
  </si>
  <si>
    <t xml:space="preserve">Select a support, switch to prepare -&gt; support selection empty.</t>
  </si>
  <si>
    <t xml:space="preserve">Yes — current app mode</t>
  </si>
  <si>
    <t xml:space="preserve">replace-model-geometry</t>
  </si>
  <si>
    <t xml:space="preserve">replaceModelGeometry</t>
  </si>
  <si>
    <t xml:space="preserve">Swaps a model's BufferGeometry (hollow, hole punch, mirror bake, restore). Recomputes bbox/centre/size and triangle count, rebuilds the edge overlay only if the old geometry had one, keeps flatteningPlanes until an idle pass recomputes them, optionally sets transform and mesh modifiers in the same step, pushes history ONLY when meshModifiersAfter or historyBefore is given, then fire-and-forget bakes the VOXL chunk.</t>
  </si>
  <si>
    <t xml:space="preserve">useSceneCollectionManager.ts:3527-3664</t>
  </si>
  <si>
    <t xml:space="preserve">Reads: modelsRef, activeModelIdRef, selectedModelIdsRef, support getSnapshot(), meshModifierStore
Writes: models (geometry, polygonCount, transform?), meshModifierStore, prepared-geometry cache, pendingFlatteningPlanesRef, deferred BVH queue, history, chunk store (async)</t>
  </si>
  <si>
    <t xml:space="preserve">Mostly React — THREE geometry, idle callbacks, BVH queue, async chunk bake. Pure part: deciding which fields carry over (isSupportGeometry, linkGroupId kept; centre re-derived) and the history-before shaping.</t>
  </si>
  <si>
    <t xml:space="preserve">buildModelEdgeGeometry (hooks/useStlGeometry), computeFlatteningPlanes, countTriangles, meshModifierStore, deferAccelerateGeometry, scheduleModelChunkBake</t>
  </si>
  <si>
    <t xml:space="preserve">None — no CLI geometry replacement (CLI has no hollow/punch/mirror).</t>
  </si>
  <si>
    <t xml:space="preserve">Snapshot pair with modifierRecord (when modifiers) and optional historyBefore override; passes modelId to pushSceneSnapshotHistory = 'geometry swap' marker for hollowing caches. No history if neither option given.</t>
  </si>
  <si>
    <t xml:space="preserve">src/features/hollowing/useHollowingManager.ts:436,508,553; src/features/hole-punching/useHolePunchManager.ts:856,962,1070,1254; src/features/mirror/useMirrorManager.ts:96</t>
  </si>
  <si>
    <t xml:space="preserve">Med — — check whether any caller relies on the no-history path (mirror passes historyBefore; all hollow/punch pass modifiers)</t>
  </si>
  <si>
    <t xml:space="preserve">Geometry is THREE; the operation itself is inherently app-side. Note: the new geometry's bbox centre changes, which shifts the rendered mesh unless callers compensate (cavityCentering.ts discusses this). No plate-lock check. deferPostProcessing option has no external caller.</t>
  </si>
  <si>
    <t xml:space="preserve">n/a (geometry lifecycle) — possibly carryOverModelFields({ previous, next }) for the field-preservation rule</t>
  </si>
  <si>
    <t xml:space="preserve">Replace keeps isSupportGeometry/linkGroupId (existing mutationPreservesSupportDesignation test is a re-implementation — make it call the real path); with meshModifiersAfter -&gt; undo restores old geometry AND modifiers; transformAfter lands in same step; edge overlay rebuilt only if previously present; missing id -&gt; false.</t>
  </si>
  <si>
    <t xml:space="preserve">ExportManager.bakeModelGeometryChunk via exportManager(); hollowing manager drops caches on payload.modelId</t>
  </si>
  <si>
    <t xml:space="preserve">flattening-planes-idle-pass</t>
  </si>
  <si>
    <t xml:space="preserve">scheduleIdle + computeFlatteningPlanes (4 inline copies)</t>
  </si>
  <si>
    <t xml:space="preserve">After a geometry change, computes Place-On-Face candidate planes on an idle callback and patches them onto the model if its geometry is still the same object. Copy-pasted in replaceModelGeometry, addModelFromGeometry, splitModelIntoParts, finalizeModelGeometryPostProcessing (only two of them maintain pendingFlatteningPlanesRef).</t>
  </si>
  <si>
    <t xml:space="preserve">useSceneCollectionManager.ts:3577-3597, 3724-3736, 3862-3877, 4060-4079</t>
  </si>
  <si>
    <t xml:space="preserve">Reads: modelsRef
Writes: models (geometry.flatteningPlanes), pendingFlatteningPlanesRef (2 of 4 copies)</t>
  </si>
  <si>
    <t xml:space="preserve">Mostly React — idle timers + setModels; computeFlatteningPlanes is the pure part and already a module.</t>
  </si>
  <si>
    <t xml:space="preserve">features/placeOnFace/logic/computeFlatteningPlanes</t>
  </si>
  <si>
    <t xml:space="preserve">None — n/a.</t>
  </si>
  <si>
    <t xml:space="preserve">internal: the four functions above</t>
  </si>
  <si>
    <t xml:space="preserve">Refactor to one helper; add/split copies do not guard on geometry identity for every part and do not count toward hasPendingBackgroundGeometryWork.</t>
  </si>
  <si>
    <t xml:space="preserve">hasPendingBackgroundGeometryWork true until planes land after split (currently likely false — pin current behaviour first).</t>
  </si>
  <si>
    <t xml:space="preserve">add-model-from-geometry</t>
  </si>
  <si>
    <t xml:space="preserve">addModelFromGeometry</t>
  </si>
  <si>
    <t xml:space="preserve">Adds a new model built from a BufferGeometry, inheriting group, transform, colour and modifiers from a base model; one history step. Doc says it is for Organic Cut part B, but splitModelIntoParts replaced that use.</t>
  </si>
  <si>
    <t xml:space="preserve">useSceneCollectionManager.ts:3666-3742</t>
  </si>
  <si>
    <t xml:space="preserve">Mostly React — THREE bbox, BVH, idle flattening pass. Model-entry construction is pure.</t>
  </si>
  <si>
    <t xml:space="preserve">accelerateGeometry, computeFlatteningPlanes, countTriangles, clonePlainData</t>
  </si>
  <si>
    <t xml:space="preserve">Snapshot pair without support state, caller-supplied description</t>
  </si>
  <si>
    <t xml:space="preserve">none outside the hook (zero references in src/ apart from the return object) — dead</t>
  </si>
  <si>
    <t xml:space="preserve">Dead code. Also: no plateId stamp, no lock check, doesn't copy meshModifiers into the external store (only onto the object, which cloneLoadedModel strips), doesn't count pendingFlatteningPlanesRef.</t>
  </si>
  <si>
    <t xml:space="preserve">n/a (delete candidate)</t>
  </si>
  <si>
    <t xml:space="preserve">None needed if deleted; else: new model shares base transform/group/colour, one undo removes it.</t>
  </si>
  <si>
    <t xml:space="preserve">No (explicit baseModelId)</t>
  </si>
  <si>
    <t xml:space="preserve">higher-contrast-edges-backfill</t>
  </si>
  <si>
    <t xml:space="preserve">higherContrastModelEdges (useSyncExternalStore) + useEffect</t>
  </si>
  <si>
    <t xml:space="preserve">When the 'Higher Contrast Model Edges' camera setting turns on, builds the edge-overlay geometry for already-loaded models lacking one, one model per idle callback, skipping models whose geometry changed meanwhile.</t>
  </si>
  <si>
    <t xml:space="preserve">useSceneCollectionManager.ts:3885-3937</t>
  </si>
  <si>
    <t xml:space="preserve">Reads: workspace camera settings store, modelsRef
Writes: models (geometry.edgeGeometry)</t>
  </si>
  <si>
    <t xml:space="preserve">Mostly React — idle scheduling, THREE edge build, setModels. The selection rule (no edgeGeometry and has positions) is trivial.</t>
  </si>
  <si>
    <t xml:space="preserve">buildModelEdgeGeometry (hooks/useStlGeometry)</t>
  </si>
  <si>
    <t xml:space="preserve">None — render-only, n/a to CLI.</t>
  </si>
  <si>
    <t xml:space="preserve">internal: effect (deps: higherContrastModelEdges only — models loaded later rely on import building edges)</t>
  </si>
  <si>
    <t xml:space="preserve">Med — — check whether split parts get edges via another path</t>
  </si>
  <si>
    <t xml:space="preserve">Viewer-only; not a scene rule. Effect does not re-run on models change, so a geometry swapped in without an overlay (e.g. split parts, addModelFromGeometry) never gets one until the setting is toggled.</t>
  </si>
  <si>
    <t xml:space="preserve">Setting on with 2 models lacking overlay -&gt; both filled after idle; toggling off mid-queue cancels; model whose geometry changed is skipped.</t>
  </si>
  <si>
    <t xml:space="preserve">subscribeToWorkspaceCameraSettings store written by viewer settings panel</t>
  </si>
  <si>
    <t xml:space="preserve">All models (scene-wide sweep)</t>
  </si>
  <si>
    <t xml:space="preserve">baked-ao-sweep</t>
  </si>
  <si>
    <t xml:space="preserve">useEffect (baked ambient occlusion)</t>
  </si>
  <si>
    <t xml:space="preserve">On every models/bakedAoIntensity change, queues models whose geometry has no aBakedAo attribute and no bake in flight; runs native (Tauri) occlusion bakes 2 at a time on idle callbacks; attaches the attribute and bumps a version store rather than the models array. Maintains counters for hasPendingBackgroundGeometryWork.</t>
  </si>
  <si>
    <t xml:space="preserve">useSceneCollectionManager.ts:3939-4051</t>
  </si>
  <si>
    <t xml:space="preserve">Reads: models, bakedAoIntensity, modelsRef, pendingAoGeometriesRef
Writes: geometry attribute aBakedAo, bakedOcclusion version store, pendingAoQueueRef, pendingAoBakeRef, pendingAoGeometriesRef</t>
  </si>
  <si>
    <t xml:space="preserve">Mostly React — Tauri IPC (canBakeOcclusion checks __TAURI_INTERNALS__), idle timers, THREE attribute mutation.</t>
  </si>
  <si>
    <t xml:space="preserve">features/scene/bakedOcclusion.ts (bakeOcclusionForGeometry, bumpBakedOcclusionVersion, canBakeOcclusion)</t>
  </si>
  <si>
    <t xml:space="preserve">None — render-only, n/a.</t>
  </si>
  <si>
    <t xml:space="preserve">internal: effect; hasPendingBackgroundGeometryWork (2487) reads its refs; modifier-apply overlay polls that</t>
  </si>
  <si>
    <t xml:space="preserve">Viewer/render work; belongs in a geometry-services layer, not a scene rule. Mutates geometry outside React state by design.</t>
  </si>
  <si>
    <t xml:space="preserve">Intensity 0 -&gt; queue cleared, nothing baked; replaced geometry re-baked; superseded run does not leave pendingAoQueueRef non-empty (hasPendingBackgroundGeometryWork false after drain).</t>
  </si>
  <si>
    <t xml:space="preserve">bakedAoIntensity persisted in appearance settings (lines ~1844-1981)</t>
  </si>
  <si>
    <t xml:space="preserve">All models</t>
  </si>
  <si>
    <t xml:space="preserve">finalize-model-geometry-post-processing</t>
  </si>
  <si>
    <t xml:space="preserve">finalizeModelGeometryPostProcessing</t>
  </si>
  <si>
    <t xml:space="preserve">Queues deferred BVH build and idle flattening-plane computation for a model's current geometry (the second half of replaceModelGeometry when deferPostProcessing was set).</t>
  </si>
  <si>
    <t xml:space="preserve">useSceneCollectionManager.ts:4053-4080</t>
  </si>
  <si>
    <t xml:space="preserve">Reads: modelsRef
Writes: deferred BVH queue, pendingFlatteningPlanesRef, models (flatteningPlanes)</t>
  </si>
  <si>
    <t xml:space="preserve">Mostly React — scheduling only.</t>
  </si>
  <si>
    <t xml:space="preserve">deferAccelerateGeometry, computeFlatteningPlanes</t>
  </si>
  <si>
    <t xml:space="preserve">none in src/ (only docs/dev/backlog.md, docs/dev/tauri-ipc-bridge.md mention it) — dead with deferPostProcessing</t>
  </si>
  <si>
    <t xml:space="preserve">Unused pair (deferPostProcessing option + this). Delete or wire into import as backlog suggests.</t>
  </si>
  <si>
    <t xml:space="preserve">n/a if deleted.</t>
  </si>
  <si>
    <t xml:space="preserve">set-model-mesh-modifiers</t>
  </si>
  <si>
    <t xml:space="preserve">setModelMeshModifiers (+ lastModifierHistoryRef)</t>
  </si>
  <si>
    <t xml:space="preserve">Stores a model's mesh modifiers (hollowing/hole-punch drafts) in the external meshModifierStore. With historyDescription pushes a snapshot step carrying modifierRecord; with merge, consecutive same-description edits on the same model within 1000 ms (and nothing pushed since) amend the previous step's after-state. Then nudges React with a shallow model copy.</t>
  </si>
  <si>
    <t xml:space="preserve">useSceneCollectionManager.ts:4096-4152</t>
  </si>
  <si>
    <t xml:space="preserve">Reads: meshModifierStore, lastModifierHistoryRef, history top (peekUndo), sceneSnapshotRegistry, modelsRef
Writes: meshModifierStore, history, sceneSnapshotRegistry (mutates existing pair), lastModifierHistoryRef, models (identity bump)</t>
  </si>
  <si>
    <t xml:space="preserve">Mixed — merge decision is a pure predicate over (last, now, top); store write and history mutation are module state; Date.now() timing.</t>
  </si>
  <si>
    <t xml:space="preserve">features/mesh-modifiers/meshModifierStore.ts, cloneMeshModifiersForHistory (module fn 400)</t>
  </si>
  <si>
    <t xml:space="preserve">None — VOXL carries meshModifiers per model, CLI never writes them.</t>
  </si>
  <si>
    <t xml:space="preserve">Own push: sceneHistory.push({type: SCENE_MODELS_SNAPSHOT_APPLY, description, payload:{key}}) without modelId (deliberately not a geometry-swap marker); merge mutates the stored after-snapshot in place.</t>
  </si>
  <si>
    <t xml:space="preserve">src/app/page.tsx:9812 (persistActiveModelModifiers -&gt; hole punch); src/features/hollowing/useHollowingManager.ts:758,1426,1436; dom tests hollowingHistory, holePunchHistory</t>
  </si>
  <si>
    <t xml:space="preserve">Modifiers live outside model objects (cloneLoadedModel strips them) — a CLI/pure path must read the store or the VOXL field. Merge window uses wall clock.</t>
  </si>
  <si>
    <t xml:space="preserve">shouldMergeModifierHistory({ last: {key, modelId, descriptionId, at} | null, modelId, descriptionId, now, topKey: string | null, windowMs }): boolean</t>
  </si>
  <si>
    <t xml:space="preserve">3 merge edits within 1 s -&gt; 1 undo step whose after = last edit; edit after 1.1 s -&gt; new step; other step pushed in between -&gt; new step; undo restores store value and hollowing panel resyncs.</t>
  </si>
  <si>
    <t xml:space="preserve">Hollowing manager listens for snapshot apply with payload.modelId to drop caches</t>
  </si>
  <si>
    <t xml:space="preserve">get-model-mesh-modifiers</t>
  </si>
  <si>
    <t xml:space="preserve">getModelMeshModifiers</t>
  </si>
  <si>
    <t xml:space="preserve">Reads a model's modifiers from the external store (inline useCallback in the return object).</t>
  </si>
  <si>
    <t xml:space="preserve">useSceneCollectionManager.ts:8205</t>
  </si>
  <si>
    <t xml:space="preserve">Reads: meshModifierStore
Writes: none</t>
  </si>
  <si>
    <t xml:space="preserve">Mostly pure — passthrough to a module store.</t>
  </si>
  <si>
    <t xml:space="preserve">meshModifierStore.getStoredMeshModifiers</t>
  </si>
  <si>
    <t xml:space="preserve">Partial — `scene load` dumps the VOXL incl. meshModifiers; no dedicated command.</t>
  </si>
  <si>
    <t xml:space="preserve">src/app/page.tsx:8033; src/features/hole-punching/useHolePunchManager.ts:421-422; src/features/hollowing/useHollowingManager.ts:750,1349,1414; dom tests</t>
  </si>
  <si>
    <t xml:space="preserve">n/a (accessor)</t>
  </si>
  <si>
    <t xml:space="preserve">After setModelMeshModifiers(id, m) returns deep-equal m; after undo returns previous.</t>
  </si>
  <si>
    <t xml:space="preserve">can-paste-model</t>
  </si>
  <si>
    <t xml:space="preserve">canPasteModel (+ modelClipboard state)</t>
  </si>
  <si>
    <t xml:space="preserve">Boolean in the return object: clipboard non-empty. Backed by useState&lt;ModelClipboardEntry[]&gt; at line 1602 (session-only, not the OS clipboard).</t>
  </si>
  <si>
    <t xml:space="preserve">useSceneCollectionManager.ts:1602-1602, 8228-8228</t>
  </si>
  <si>
    <t xml:space="preserve">Reads: modelClipboard
Writes: none</t>
  </si>
  <si>
    <t xml:space="preserve">Mostly React — derived state.</t>
  </si>
  <si>
    <t xml:space="preserve">None (n/a)</t>
  </si>
  <si>
    <t xml:space="preserve">src/app/page.tsx (5 uses: context-menu disabled items 2651, empty-canvas menu 6124, Ctrl+V 9950)</t>
  </si>
  <si>
    <t xml:space="preserve">UI state; stays in the hook.</t>
  </si>
  <si>
    <t xml:space="preserve">Hotkey isVJustPressed in page.tsx.</t>
  </si>
  <si>
    <t xml:space="preserve">Yes — clipboard</t>
  </si>
  <si>
    <t xml:space="preserve">scan-model-for-supports-in-place</t>
  </si>
  <si>
    <t xml:space="preserve">scanModelForSupportsInPlace</t>
  </si>
  <si>
    <t xml:space="preserve">Re-runs the native classifier ('classify-only') on a model's geometry so baked-in supports are detected, replacing the model's geometry and polygon count and clearing isSupportGeometry; then shows the mesh repair report or a 'scanned' toast. Returns success.</t>
  </si>
  <si>
    <t xml:space="preserve">useSceneCollectionManager.ts:4656-4710</t>
  </si>
  <si>
    <t xml:space="preserve">Reads: modelsRef, existing nativeRepairReport.model_triangle_count
Writes: importProgress, models (geometry, polygonCount, isSupportGeometry), pendingMeshRepairReports, meshRepairReports, meshRepairReportPresentation, scene import report</t>
  </si>
  <si>
    <t xml:space="preserve">Mostly React — the real work is processGeometry (native/Tauri worker); the hook part is UI reporting.</t>
  </si>
  <si>
    <t xml:space="preserve">useStlGeometry.ts processGeometry (nativeProcessingMode 'classify-only')</t>
  </si>
  <si>
    <t xml:space="preserve">None — CLI has no classify command (it does read baked `classification` via reportAddressesTriangleSoup).</t>
  </si>
  <si>
    <t xml:space="preserve">None — geometry replaced with NO history entry (undo after scan restores nothing / prior snapshots hold the old geometry object)</t>
  </si>
  <si>
    <t xml:space="preserve">src/app/page.tsx editor context menu 'scan-for-supports'</t>
  </si>
  <si>
    <t xml:space="preserve">Native/Tauri processing, async, UI report state. Uses setModels(prev=&gt;) rather than refs. Not a scene rule worth extracting beyond 'apply classification result to model'.</t>
  </si>
  <si>
    <t xml:space="preserve">n/a (UI plumbing over native classify); at most applyClassification({ model, triangleCount, report }) =&gt; model patch</t>
  </si>
  <si>
    <t xml:space="preserve">Pin that scan does not push history (decide if it should); model id unchanged; isSupportGeometry cleared; failure path emits error report and returns false.</t>
  </si>
  <si>
    <t xml:space="preserve">Mesh repair report dialog consumes meshRepairReports state.</t>
  </si>
  <si>
    <t xml:space="preserve">select-group</t>
  </si>
  <si>
    <t xml:space="preserve">selectGroup</t>
  </si>
  <si>
    <t xml:space="preserve">Selects all members of a group (replace, or 'add' to union with current selection) and makes the first member active.</t>
  </si>
  <si>
    <t xml:space="preserve">useSceneCollectionManager.ts:4731-4742</t>
  </si>
  <si>
    <t xml:space="preserve">Reads: models (React state, not ref), selectedModelIds via setter callback
Writes: activeModelId, selectedModelIds (no history)</t>
  </si>
  <si>
    <t xml:space="preserve">Mostly pure — a 5-line selection rule; uses `models` state instead of modelsRef unlike its neighbours.</t>
  </si>
  <si>
    <t xml:space="preserve">None — CLI has no selection commands (it only clears selection on remove-model).</t>
  </si>
  <si>
    <t xml:space="preserve">None (selection is not in history)</t>
  </si>
  <si>
    <t xml:space="preserve">src/app/page.tsx handleGroupSelection -&gt; ModelManagerPanel onSelectGroup</t>
  </si>
  <si>
    <t xml:space="preserve">Selection-only; low value for CLI. Could live with selection helpers.</t>
  </si>
  <si>
    <t xml:space="preserve">selectGroupMembers({ models, groupId, mode: 'single'|'add', selectedModelIds }) =&gt; { activeModelId; selectedModelIds } | null</t>
  </si>
  <si>
    <t xml:space="preserve">single -&gt; exactly members; add -&gt; union without duplicates, order prev-first; unknown group -&gt; null.</t>
  </si>
  <si>
    <t xml:space="preserve">No (groupId explicit); 'add' mode reads previous selection</t>
  </si>
  <si>
    <t xml:space="preserve">manually-repaired-model-ids</t>
  </si>
  <si>
    <t xml:space="preserve">manuallyRepairedModelIds (state)</t>
  </si>
  <si>
    <t xml:space="preserve">List of model ids that were repaired by hand this session; used to offer 'undo repairs' in the context menu.</t>
  </si>
  <si>
    <t xml:space="preserve">useSceneCollectionManager.ts:1621-1621 (state); written 7232, 7340</t>
  </si>
  <si>
    <t xml:space="preserve">Reads: —
Writes: React state only</t>
  </si>
  <si>
    <t xml:space="preserve">Mostly React — session UI state; not saved, not in history snapshots.</t>
  </si>
  <si>
    <t xml:space="preserve">None — not part of snapshots, so undoing a repair via Ctrl+Z leaves the id in the list.</t>
  </si>
  <si>
    <t xml:space="preserve">src/app/page.tsx (~2601 context menu gating)</t>
  </si>
  <si>
    <t xml:space="preserve">Drifts from scene truth: undo/redo of a repair does not update it; it is only written at 7232 and 7340, so deleting a model never prunes it.</t>
  </si>
  <si>
    <t xml:space="preserve">Repair then Ctrl+Z -&gt; id still listed (pin or fix).</t>
  </si>
  <si>
    <t xml:space="preserve">active-model-accessors</t>
  </si>
  <si>
    <t xml:space="preserve">activeMeshColor / activeMeshVisible / activeFileName (returned as meshColor, meshVisible, fileName)</t>
  </si>
  <si>
    <t xml:space="preserve">Compatibility values for the active model: its colour (or the preferred colour if none), visibility (default true), and name.</t>
  </si>
  <si>
    <t xml:space="preserve">useSceneCollectionManager.ts:7083-7086</t>
  </si>
  <si>
    <t xml:space="preserve">Reads: activeModel, preferredMeshColor
Writes: None</t>
  </si>
  <si>
    <t xml:space="preserve">Mostly pure — derived values each render.</t>
  </si>
  <si>
    <t xml:space="preserve">None — n/a (view state)</t>
  </si>
  <si>
    <t xml:space="preserve">meshColor: page.tsx, SceneCanvas.tsx, StlMesh.tsx, TopBar.tsx, SettingsModal.tsx, MeshSettingsTab.tsx (+4 more, many may be unrelated local props); meshVisible: page.tsx, SceneCanvas.tsx</t>
  </si>
  <si>
    <t xml:space="preserve">Med — — grep hits for meshColor include unrelated props</t>
  </si>
  <si>
    <t xml:space="preserve">Note meshColor falls back to the preferred colour, which the settings panel also edits, so the colour swatch is a mix of model data and preference.</t>
  </si>
  <si>
    <t xml:space="preserve">No active model -&gt; preferredMeshColor/true/null.</t>
  </si>
  <si>
    <t xml:space="preserve">Yes: activeModel</t>
  </si>
  <si>
    <t xml:space="preserve">undo-repairs-in-place</t>
  </si>
  <si>
    <t xml:space="preserve">undoRepairsInPlace</t>
  </si>
  <si>
    <t xml:space="preserve">Restores a model's original mesh by re-reading its source file from disk (through Rust), re-processing it (auto-repair if the import preference says so), swapping geometry in place, and clearing repair reports. Not an undo step.</t>
  </si>
  <si>
    <t xml:space="preserve">useSceneCollectionManager.ts:7208-7242</t>
  </si>
  <si>
    <t xml:space="preserve">Reads: models (render state), model.sourcePath, import preference via shouldAutoRepairSceneImports
Writes: models[id].geometry/polygonCount (setModels updater), manuallyRepairedModelIds (remove), meshRepairReports, pendingMeshRepairReports, toast</t>
  </si>
  <si>
    <t xml:space="preserve">Mostly React — Tauri file read (loadMeshFromPath), THREE BufferGeometry, processGeometry worker/native; no rule beyond 'needs sourcePath'.</t>
  </si>
  <si>
    <t xml:space="preserve">loadMeshFromPath (utils/meshRepair.ts), processGeometry (hooks/useStlGeometry.ts)</t>
  </si>
  <si>
    <t xml:space="preserve">None — the geometry swap is NOT pushed to history; earlier repair history entries remain and can re-apply the repaired geometry.</t>
  </si>
  <si>
    <t xml:space="preserve">src/app/page.tsx (context menu 'undo-repairs' ~6336, gated on manuallyRepairedModelIds)</t>
  </si>
  <si>
    <t xml:space="preserve">I/O-bound; nothing pure to extract. Clears ALL repair reports (not just this model's). Uses stale `models` from render while setModels uses updater.</t>
  </si>
  <si>
    <t xml:space="preserve">n/a (UI plumbing / native I/O)</t>
  </si>
  <si>
    <t xml:space="preserve">Model without sourcePath -&gt; warning, false; success -&gt; geometry replaced, transform unchanged, id removed from manuallyRepairedModelIds; undo stack unchanged (pin).</t>
  </si>
  <si>
    <t xml:space="preserve">No — explicit modelId (caller passes activeModelId)</t>
  </si>
  <si>
    <t xml:space="preserve">repair-models-in-place</t>
  </si>
  <si>
    <t xml:space="preserve">repairModelsInPlace</t>
  </si>
  <si>
    <t xml:space="preserve">Runs the native repair pipeline on each listed model in turn (with progress and cancel), swaps all results in as one undo step, records them as manually repaired, and shows reports/toasts.</t>
  </si>
  <si>
    <t xml:space="preserve">useSceneCollectionManager.ts:7252-7354</t>
  </si>
  <si>
    <t xml:space="preserve">Reads: modelsRef (before and after awaits), activeModelIdRef, selectedModelIdsRef
Writes: models[].geometry/polygonCount, history, manuallyRepairedModelIds (add), pendingMeshRepairReports (cleared), meshRepairReports, meshRepairReportPresentation, toasts</t>
  </si>
  <si>
    <t xml:space="preserve">Mostly React — the only rule is 'stop on cancel, keep finished ones, apply to the current scene'; everything else is native processing and UI reporting.</t>
  </si>
  <si>
    <t xml:space="preserve">processGeometry (nativeProcessingMode:'repair'), countTriangles, message helpers (repairFailedMessage etc.)</t>
  </si>
  <si>
    <t xml:space="preserve">pushSceneSnapshotHistory(before, after, repairModelLabel(name) | repairModelsLabel(n), modelId when single)</t>
  </si>
  <si>
    <t xml:space="preserve">src/components/organisms/modals/MeshRepairModals.tsx (runRepair ~152); tests: meshRepairModals.dom-test.tsx, + 1 other __tests__</t>
  </si>
  <si>
    <t xml:space="preserve">Native/worker bound. A CLI repair would call the Rust repair directly; the shared part would only be the result-application (swap geometry, polygonCount).</t>
  </si>
  <si>
    <t xml:space="preserve">n/a (native I/O); possibly applyGeometrySwaps({ models, swaps: Map&lt;id,{polygonCount}&gt; }) for parity on metadata only</t>
  </si>
  <si>
    <t xml:space="preserve">Cancel on model 2 of 3 -&gt; model 1 applied, 2 and 3 untouched, warning toast, returns false; failure on one -&gt; others applied; model deleted during await is skipped; single-model history carries modelId.</t>
  </si>
  <si>
    <t xml:space="preserve">manuallyRepairedModelIds gates the 'undo repairs' context-menu item in page.tsx (~2601).</t>
  </si>
  <si>
    <t xml:space="preserve">tet-surface-model-in-place</t>
  </si>
  <si>
    <t xml:space="preserve">tetSurfaceModelInPlace</t>
  </si>
  <si>
    <t xml:space="preserve">Rebuilds one model's surface with the native tetrahedral remesh and swaps it in as one undo step; toast with before/after triangle counts.</t>
  </si>
  <si>
    <t xml:space="preserve">useSceneCollectionManager.ts:7365-7406</t>
  </si>
  <si>
    <t xml:space="preserve">Reads: modelsRef
Writes: via replaceModelGeometry: models[id].geometry, history; toast</t>
  </si>
  <si>
    <t xml:space="preserve">Mostly React — native call (tetSurfaceFromGeometry, Tauri) + replaceModelGeometry.</t>
  </si>
  <si>
    <t xml:space="preserve">tetSurfaceFromGeometry (utils/meshShrinkwrap.ts:103), replaceModelGeometry (3527)</t>
  </si>
  <si>
    <t xml:space="preserve">replaceModelGeometry(..., tetSurfaceModelLabel(name), { historyBefore: {} }) — the empty historyBefore is what turns history on</t>
  </si>
  <si>
    <t xml:space="preserve">src/app/page.tsx (~11480, remesh confirm modal)</t>
  </si>
  <si>
    <t xml:space="preserve">Native only (returns null in browser). 'historyBefore: {}' as a history switch is an obscure contract worth naming.</t>
  </si>
  <si>
    <t xml:space="preserve">n/a (native geometry)</t>
  </si>
  <si>
    <t xml:space="preserve">Model removed during await -&gt; false, no history; null result -&gt; warning; success -&gt; one history entry, transform unchanged.</t>
  </si>
  <si>
    <t xml:space="preserve">No — explicit modelId</t>
  </si>
  <si>
    <t xml:space="preserve">solid-remesh-model-in-place</t>
  </si>
  <si>
    <t xml:space="preserve">solidRemeshModelInPlace</t>
  </si>
  <si>
    <t xml:space="preserve">Shrink-Wrap: resolves one model into a solid with the native remesh and swaps it in as one undo step; toast with counts.</t>
  </si>
  <si>
    <t xml:space="preserve">useSceneCollectionManager.ts:7419-7460</t>
  </si>
  <si>
    <t xml:space="preserve">Mostly React — same shape as tetSurfaceModelInPlace (near-duplicate code).</t>
  </si>
  <si>
    <t xml:space="preserve">solidRemeshFromGeometry (utils/meshShrinkwrap.ts:68), replaceModelGeometry</t>
  </si>
  <si>
    <t xml:space="preserve">replaceModelGeometry(..., solidRemeshModelLabel(name), { historyBefore: {} })</t>
  </si>
  <si>
    <t xml:space="preserve">src/app/page.tsx (~11538, shrink-wrap confirm modal)</t>
  </si>
  <si>
    <t xml:space="preserve">Duplicate of tetSurface except the native call and messages; could share one runRemeshInPlace helper. Not pure.</t>
  </si>
  <si>
    <t xml:space="preserve">Same as tetSurface.</t>
  </si>
  <si>
    <t xml:space="preserve">geometry-tracking-dispose</t>
  </si>
  <si>
    <t xml:space="preserve">useEffect (tracked geometry disposal)</t>
  </si>
  <si>
    <t xml:space="preserve">After each change to models or the clipboard, works out which THREE geometries are still referenced (models, clipboard, every history snapshot) and queues the rest for deferred disposal.</t>
  </si>
  <si>
    <t xml:space="preserve">useSceneCollectionManager.ts:7462-7488</t>
  </si>
  <si>
    <t xml:space="preserve">Reads: models, modelClipboard, sceneSnapshotRegistry (module Map), trackedGeometriesRef
Writes: trackedGeometriesRef, deferred disposal queue (deferDisposeGeometries)</t>
  </si>
  <si>
    <t xml:space="preserve">Mostly React — reference-set diff is pure-ish but it is THREE lifecycle.</t>
  </si>
  <si>
    <t xml:space="preserve">deferDisposeGeometries (2540)</t>
  </si>
  <si>
    <t xml:space="preserve">Reads history registry so undoable geometry is kept alive</t>
  </si>
  <si>
    <t xml:space="preserve">Comment says 'Cleanup on unmount' but it runs on every models change. Snapshot eviction (storeSceneSnapshotPair) does not trigger it, so evicted geometry is freed only on the next models/clipboard change. Support-store geometry is not tracked here.</t>
  </si>
  <si>
    <t xml:space="preserve">n/a (geometry lifecycle); diffGeometrySets({ previous, live }) if wanted</t>
  </si>
  <si>
    <t xml:space="preserve">Delete model then undo: geometry not disposed while snapshot holds it; after history eviction + next edit it is disposed.</t>
  </si>
  <si>
    <t xml:space="preserve">Paste/duplicate share geometry (cloneGeometryWithBounds shared:true) — disposal relies on set membership, so shared refs stay alive while any model uses them.</t>
  </si>
  <si>
    <t xml:space="preserve">Whole scene</t>
  </si>
  <si>
    <t xml:space="preserve">auto-brace-mesh-sync</t>
  </si>
  <si>
    <t xml:space="preserve">useEffect (registerMeshForAutoBrace)</t>
  </si>
  <si>
    <t xml:space="preserve">Keeps the auto-brace module's mesh store in sync with every model's geometry and world matrix so clearance checks can see them; unregisters all on change.</t>
  </si>
  <si>
    <t xml:space="preserve">useSceneCollectionManager.ts:7490-7506</t>
  </si>
  <si>
    <t xml:space="preserve">Reads: models (geometry, transform)
Writes: supports/autoBracing/meshGeometryStore (module-level registry)</t>
  </si>
  <si>
    <t xml:space="preserve">Mostly React — effect pushing THREE matrices into a module store.</t>
  </si>
  <si>
    <t xml:space="preserve">registerMeshForAutoBrace/unregisterMeshForAutoBrace, quaternionFromGlobalEuler</t>
  </si>
  <si>
    <t xml:space="preserve">None — CLI support commands do not run auto-brace clearance.</t>
  </si>
  <si>
    <t xml:space="preserve">Hidden wiring: a headless auto-brace would need this store filled by its caller. Includes invisible models. Re-registers all models on every change (O(n) per edit).</t>
  </si>
  <si>
    <t xml:space="preserve">n/a (UI plumbing); headless callers pass meshes explicitly</t>
  </si>
  <si>
    <t xml:space="preserve">After moving a model, the store matrix equals compose(position, quaternion(rotation), scale).</t>
  </si>
  <si>
    <t xml:space="preserve">meshGeometryStore consumers in supports/autoBracing — module singleton.</t>
  </si>
  <si>
    <t xml:space="preserve">unmount-cleanup</t>
  </si>
  <si>
    <t xml:space="preserve">useEffect (unmount cleanup)</t>
  </si>
  <si>
    <t xml:space="preserve">On unmount: clears the import-report toast timer, revokes model blob URLs, and disposes every tracked geometry and its BVH.</t>
  </si>
  <si>
    <t xml:space="preserve">useSceneCollectionManager.ts:7508-7533</t>
  </si>
  <si>
    <t xml:space="preserve">Reads: sceneImportReportTimeoutRef, models (first render — stale by design, eslint-disabled), trackedGeometriesRef
Writes: window timer, object URLs, THREE geometries</t>
  </si>
  <si>
    <t xml:space="preserve">Mostly React — pure lifecycle.</t>
  </si>
  <si>
    <t xml:space="preserve">tryRevokeObjectUrl, disposeGeometryBVH</t>
  </si>
  <si>
    <t xml:space="preserve">`models` captured from the first render, so blob URLs of later models are never revoked on unmount (empty deps).</t>
  </si>
  <si>
    <t xml:space="preserve">All</t>
  </si>
  <si>
    <t xml:space="preserve">voxl-load-report-errors</t>
  </si>
  <si>
    <t xml:space="preserve">handleImportVoxlFile: report, timing log, error handling</t>
  </si>
  <si>
    <t xml:space="preserve">Logs phase timings (also to the native log file), emits an imported-scene report (warning if models skipped), returns false with a 'no meshes' warning when nothing imported; on error shows the obsolete-version modal or an error report + window.alert; always clears import progress.</t>
  </si>
  <si>
    <t xml:space="preserve">useSceneCollectionManager.ts:6802-6867</t>
  </si>
  <si>
    <t xml:space="preserve">Reads: counts
Writes: sceneImportReport, obsoleteVoxlScene, importProgress, native log</t>
  </si>
  <si>
    <t xml:space="preserve">Mostly React — reporting and alerts.</t>
  </si>
  <si>
    <t xml:space="preserve">reportImportedScene, reportVoxlNoMeshes, reportVoxlImportFailed, logToNativeFile</t>
  </si>
  <si>
    <t xml:space="preserve">Partial — CLI prints a summary on `scene load`.</t>
  </si>
  <si>
    <t xml:space="preserve">The pure load plan should return skipped counts/reasons as data so both surfaces report the same.</t>
  </si>
  <si>
    <t xml:space="preserve">n/a (UI plumbing) — a load plan returns { skipped: Array&lt;{ id, reason }&gt; }</t>
  </si>
  <si>
    <t xml:space="preserve">Model with mesh mode 'external-file' -&gt; skipped count 1 and report severity 'warning'.</t>
  </si>
  <si>
    <t xml:space="preserve">reopen-recent-file</t>
  </si>
  <si>
    <t xml:space="preserve">reopenRecentOpenedFile</t>
  </si>
  <si>
    <t xml:space="preserve">Reopens a recent-files entry: a mesh with a disk path is reloaded from disk (STL as a path-backed empty File for the native sideload, other formats read via Tauri); otherwise restores the cached blob from IndexedDB and imports it as a scene or mesh; refuses empty mesh blobs.</t>
  </si>
  <si>
    <t xml:space="preserve">useSceneCollectionManager.ts:6957-7017</t>
  </si>
  <si>
    <t xml:space="preserve">Reads: recentOpenedFiles, IndexedDB blob store, Tauri read_print_file_bytes
Writes: via importSceneFile / loadFiles</t>
  </si>
  <si>
    <t xml:space="preserve">Mostly React — storage, Tauri and File plumbing; no scene rule.</t>
  </si>
  <si>
    <t xml:space="preserve">readRecentOpenedFileBlob, loadTauriCore, importSceneFile, loadFiles</t>
  </si>
  <si>
    <t xml:space="preserve">useImportExportManager.ts:371 (handleReopenRecentFile, which first tries the scene's source path itself and sets save path/format afterwards); page.tsx:878</t>
  </si>
  <si>
    <t xml:space="preserve">Stays in UI. Scene entries with a source path are handled upstream in useImportExportManager; this is the fallback.</t>
  </si>
  <si>
    <t xml:space="preserve">Mesh entry with sourcePath ending .stl -&gt; loadFiles called with empty File carrying filePath; mesh blob size 0 without path -&gt; false.</t>
  </si>
  <si>
    <t xml:space="preserve">Entry id is explicit</t>
  </si>
  <si>
    <t xml:space="preserve">clear-recent-files</t>
  </si>
  <si>
    <t xml:space="preserve">clearRecentOpenedFiles</t>
  </si>
  <si>
    <t xml:space="preserve">Empties the recent-files list in state and localStorage and deletes the cached blobs from IndexedDB.</t>
  </si>
  <si>
    <t xml:space="preserve">useSceneCollectionManager.ts:7020-7027</t>
  </si>
  <si>
    <t xml:space="preserve">Reads: recentOpenedFiles
Writes: recentOpenedFiles, localStorage, IndexedDB</t>
  </si>
  <si>
    <t xml:space="preserve">Mostly React — storage only.</t>
  </si>
  <si>
    <t xml:space="preserve">writeRecentOpenedFilesToLocalStorage, deleteRecentOpenedFileBlobs</t>
  </si>
  <si>
    <t xml:space="preserve">page.tsx:10768 (onClearRecentFiles)</t>
  </si>
  <si>
    <t xml:space="preserve">UI-only; move with recent-files into its own hook.</t>
  </si>
  <si>
    <t xml:space="preserve">After call, list empty and localStorage key holds [].</t>
  </si>
  <si>
    <t xml:space="preserve">load-support-json-legacy</t>
  </si>
  <si>
    <t xml:space="preserve">Legacy debug loader: fetches /dragonfruit_supports.json and REPLACES the support store with it (loadFromImportFormat), after applying import-default raft settings.</t>
  </si>
  <si>
    <t xml:space="preserve">Reads: network fetch
Writes: support store (replaced), raft settings</t>
  </si>
  <si>
    <t xml:space="preserve">Mostly React — fetch + store write; not memoized.</t>
  </si>
  <si>
    <t xml:space="preserve">loadFromImportFormat, applyImportDefaultsToRaftState</t>
  </si>
  <si>
    <t xml:space="preserve">AnalysisPanelStack.tsx:32 → IslandScanCard onLoadSupportJson</t>
  </si>
  <si>
    <t xml:space="preserve">Med — — confirm no build step copies that JSON into public/</t>
  </si>
  <si>
    <t xml:space="preserve">public/dragonfruit_supports.json does not exist in the repo, so this always fails (logged). Candidate for removal.</t>
  </si>
  <si>
    <t xml:space="preserve">None; confirm unreachable then delete.</t>
  </si>
  <si>
    <t xml:space="preserve">Hard-coded URL; supports bound to whatever model ids the JSON names</t>
  </si>
  <si>
    <t xml:space="preserve">active-model-compat-aliases</t>
  </si>
  <si>
    <t xml:space="preserve">fileName, meshColor, meshVisible, geom, polygonCount (inline in return)</t>
  </si>
  <si>
    <t xml:space="preserve">Single-model compatibility view of the active model: its name, colour (or preferred colour), visibility, geometry and triangle count.</t>
  </si>
  <si>
    <t xml:space="preserve">useSceneCollectionManager.ts:8150-8156</t>
  </si>
  <si>
    <t xml:space="preserve">Mostly React — derived values.</t>
  </si>
  <si>
    <t xml:space="preserve">Partial — list-models reports name/visible per model; n/a as an 'active' view.</t>
  </si>
  <si>
    <t xml:space="preserve">geom: AnalysisPanelStack.tsx, PreparePanelStack.tsx, page.tsx; fileName/meshColor/meshVisible: no `scene.X` hits found (check destructuring); polygonCount (scene-level) shares a name with model fields so caller count is unreliable</t>
  </si>
  <si>
    <t xml:space="preserve">Med — — grep for destructured fileName/meshColor/meshVisible from the scene object to confirm whether they are dead.</t>
  </si>
  <si>
    <t xml:space="preserve">Legacy single-model API; candidates for deletion once callers read activeModel directly.</t>
  </si>
  <si>
    <t xml:space="preserve">None needed beyond type check.</t>
  </si>
  <si>
    <t xml:space="preserve">Yes — the active model</t>
  </si>
  <si>
    <t xml:space="preserve">on-heatmap-color-change</t>
  </si>
  <si>
    <t xml:space="preserve">onHeatmapColorChange (inline useCallback in return)</t>
  </si>
  <si>
    <t xml:space="preserve">Replaces one colour stop of the overhang heatmap gradient.</t>
  </si>
  <si>
    <t xml:space="preserve">useSceneCollectionManager.ts:8264-8270</t>
  </si>
  <si>
    <t xml:space="preserve">Reads: heatmapColors
Writes: heatmapColors</t>
  </si>
  <si>
    <t xml:space="preserve">Mostly React — setState; another hook call inside the return literal.</t>
  </si>
  <si>
    <t xml:space="preserve">src/components/layout/TopBar.tsx, src/components/settings/SettingsModal.tsx, src/components/settings/MeshSettingsTab.tsx, src/app/page.tsx</t>
  </si>
  <si>
    <t xml:space="preserve">Viewer setting, not scene content.</t>
  </si>
  <si>
    <t xml:space="preserve">No (index)</t>
  </si>
  <si>
    <t xml:space="preserve">Hook functions called</t>
  </si>
  <si>
    <t xml:space="preserve">history-jump</t>
  </si>
  <si>
    <t xml:space="preserve">jumpHistoryToCounts / handleHistoryJumpToEvent / handleHistoryCancelPreview</t>
  </si>
  <si>
    <t xml:space="preserve">Debug history panel: jump to an event by undoing/redoing until the undo count matches (safety 800), only within the same undo+redo total; cancel returns to the baseline.</t>
  </si>
  <si>
    <t xml:space="preserve">page.tsx:6461-6499</t>
  </si>
  <si>
    <t xml:space="preserve">Reads: getUndoCount/getRedoCount
Writes: scene via undo/redo</t>
  </si>
  <si>
    <t xml:space="preserve">Mostly pure — loop over undo/redo.</t>
  </si>
  <si>
    <t xml:space="preserve">history store</t>
  </si>
  <si>
    <t xml:space="preserve">Replays undo/redo</t>
  </si>
  <si>
    <t xml:space="preserve">HistoryDebug panel</t>
  </si>
  <si>
    <t xml:space="preserve">n/a (debug)</t>
  </si>
  <si>
    <t xml:space="preserve">10 entries, jump to 4 -&gt; undoCount 4.</t>
  </si>
  <si>
    <t xml:space="preserve">sc-plate-scenery</t>
  </si>
  <si>
    <t xml:space="preserve">plateSceneryModelIds / modelPlateStates / isModelFocusable</t>
  </si>
  <si>
    <t xml:space="preserve">Models on another plate are scenery: dimmed and not pickable, except selected ones.</t>
  </si>
  <si>
    <t xml:space="preserve">SceneCanvas.tsx:1094-1109, SceneCanvas.tsx:1710-1736</t>
  </si>
  <si>
    <t xml:space="preserve">Reads: models, plateFrames, activePlateId, plates, selectedModelIds
Writes: memo values</t>
  </si>
  <si>
    <t xml:space="preserve">Mostly pure — already delegates.</t>
  </si>
  <si>
    <t xml:space="preserve">plates/plateInteractivity.sceneryModelIds, modelPlateScope</t>
  </si>
  <si>
    <t xml:space="preserve">SceneCanvas</t>
  </si>
  <si>
    <t xml:space="preserve">Already extracted.</t>
  </si>
  <si>
    <t xml:space="preserve">n/a (already pure)</t>
  </si>
  <si>
    <t xml:space="preserve">Covered by plateInteractivity tests.</t>
  </si>
  <si>
    <t xml:space="preserve">sc-next-plate-frame-ghost-drop</t>
  </si>
  <si>
    <t xml:space="preserve">nextPlateFrame / applySelectDragMove ghost logic / finishSelectDrag spawnPlate</t>
  </si>
  <si>
    <t xml:space="preserve">Where the next plate would go (cascade step past the last plate) and whether a select-drag is off every plate and over that ghost; a drop there sends spawnPlateForDrop to handleTransformEnd.</t>
  </si>
  <si>
    <t xml:space="preserve">SceneCanvas.tsx:1741-1757, SceneCanvas.tsx:6102-6214</t>
  </si>
  <si>
    <t xml:space="preserve">Reads: plateFrames, plateOrdering, group position
Writes: ghostPlateMode, ghostPlateDropArmedRef</t>
  </si>
  <si>
    <t xml:space="preserve">Mixed — next-frame and hit test are pure; rest is pointer plumbing.</t>
  </si>
  <si>
    <t xml:space="preserve">plateCascadeOffsetMm</t>
  </si>
  <si>
    <t xml:space="preserve">Folded into transform end (plateSpawn)</t>
  </si>
  <si>
    <t xml:space="preserve">page.tsx handleTransformEnd</t>
  </si>
  <si>
    <t xml:space="preserve">Restates the frame rect math from plateLayout.</t>
  </si>
  <si>
    <t xml:space="preserve">nextPlateFrame({ frames, ordering }); dropTarget({ point, frames, next })</t>
  </si>
  <si>
    <t xml:space="preserve">Two plates, drop at next cascade rect -&gt; spawnPlate true; on plate 1 -&gt; false.</t>
  </si>
  <si>
    <t xml:space="preserve">plate-widget-passthroughs</t>
  </si>
  <si>
    <t xml:space="preserve">onAddPlate / onTogglePlateLock / onActivatePlate / onRenamePlate (JSX)</t>
  </si>
  <si>
    <t xml:space="preserve">Plate widget actions pass straight to the hook: add plate, toggle lock of the active plate, activate, rename.</t>
  </si>
  <si>
    <t xml:space="preserve">page.tsx:10827-10851</t>
  </si>
  <si>
    <t xml:space="preserve">Reads: scene.plateLocked
Writes: plates</t>
  </si>
  <si>
    <t xml:space="preserve">Mostly React.</t>
  </si>
  <si>
    <t xml:space="preserve">via hook</t>
  </si>
  <si>
    <t xml:space="preserve">n/a (passthrough)</t>
  </si>
  <si>
    <t xml:space="preserve">Partly — lock toggles the active plate</t>
  </si>
  <si>
    <t xml:space="preserve">scene.addPlate, setPlateLocked, activatePlate, renamePlate</t>
  </si>
  <si>
    <t xml:space="preserve">slice-run-plate-scope</t>
  </si>
  <si>
    <t xml:space="preserve">handleSliceRunStartedForPrinting / recordPrintingSlice / handleSlicePlateSliced / handleSliceArtifactReady</t>
  </si>
  <si>
    <t xml:space="preserve">Records each sliced bed against the plate actually sliced (context.plateId), falling back to the active plate; batch slicing records each plate as it finishes.</t>
  </si>
  <si>
    <t xml:space="preserve">page.tsx:2667-2887</t>
  </si>
  <si>
    <t xml:space="preserve">Reads: scene.activePlateId, activeSliceProfileFingerprint
Writes: slicedPlates store, printing layer state</t>
  </si>
  <si>
    <t xml:space="preserve">Mostly React — glue to slicedPlates.</t>
  </si>
  <si>
    <t xml:space="preserve">useSlicedPlates</t>
  </si>
  <si>
    <t xml:space="preserve">Partial — scene slice --plate slices one plate; no batch</t>
  </si>
  <si>
    <t xml:space="preserve">ExportPanelStack</t>
  </si>
  <si>
    <t xml:space="preserve">Med — — 2714-2887 not read fully</t>
  </si>
  <si>
    <t xml:space="preserve">Handoff §3: slice-&gt;print glue, tied to the monitor hook.</t>
  </si>
  <si>
    <t xml:space="preserve">Batch slice plates 1,2 while active=1: both recorded under their own ids.</t>
  </si>
  <si>
    <t xml:space="preserve">Partly — falls back to scene.activePlateId</t>
  </si>
  <si>
    <t xml:space="preserve">printing-scrub-preview-models</t>
  </si>
  <si>
    <t xml:space="preserve">printingScrubPreviewModels</t>
  </si>
  <si>
    <t xml:space="preserve">Models on the active plate, shifted by -plate offset so the printing scrub preview (drawn around the origin) shows the right bed. Same shift the slice uses.</t>
  </si>
  <si>
    <t xml:space="preserve">page.tsx:2920-2934</t>
  </si>
  <si>
    <t xml:space="preserve">Reads: scene.models, scene.activePlateId, scene.plateFrames
Writes: memo value</t>
  </si>
  <si>
    <t xml:space="preserve">Mostly pure — modelsOnPlate + offset; THREE.Vector3 clone.</t>
  </si>
  <si>
    <t xml:space="preserve">plateLayout.modelsOnPlate</t>
  </si>
  <si>
    <t xml:space="preserve">Full — CLI applies plateSliceScope offsetMm the same way</t>
  </si>
  <si>
    <t xml:space="preserve">PrintingPreviewPane</t>
  </si>
  <si>
    <t xml:space="preserve">Restates the offset shift instead of using plateSliceScope.</t>
  </si>
  <si>
    <t xml:space="preserve">n/a (use plateSliceScope({frame, models, frames}).offsetMm)</t>
  </si>
  <si>
    <t xml:space="preserve">Plate 2 at dx=130: model at x=130 -&gt; preview x=0.</t>
  </si>
  <si>
    <t xml:space="preserve">active-plate-model-ids</t>
  </si>
  <si>
    <t xml:space="preserve">activePlateModelIds</t>
  </si>
  <si>
    <t xml:space="preserve">Set of model ids on the active plate (modelsOnPlate). Scopes layer count, print time, resin estimate and slicing to the bed being worked on.</t>
  </si>
  <si>
    <t xml:space="preserve">page.tsx:828-834</t>
  </si>
  <si>
    <t xml:space="preserve">Mostly pure — already delegates to the pure modelsOnPlate.</t>
  </si>
  <si>
    <t xml:space="preserve">Full — scene slice --plate uses the same modelsOnPlate/plateSliceScope</t>
  </si>
  <si>
    <t xml:space="preserve">internal: visibleResinModels, slicingModels, excludedSliceModelIds</t>
  </si>
  <si>
    <t xml:space="preserve">Nothing; already the ADR-0045 pattern. Only the implicit active plate remains.</t>
  </si>
  <si>
    <t xml:space="preserve">n/a (already modelsOnPlate({models, plateId, frames}))</t>
  </si>
  <si>
    <t xml:space="preserve">Covered by plateLayout tests; add a page-level check that slicingModels is a subset of it.</t>
  </si>
  <si>
    <t xml:space="preserve">Yes — reads scene.activePlateId</t>
  </si>
  <si>
    <t xml:space="preserve">scene.activePlateId, scene.plateFrames</t>
  </si>
  <si>
    <t xml:space="preserve">grouping-rename-passthrough</t>
  </si>
  <si>
    <t xml:space="preserve">handleGroupSelectedModels / handleUngroupSelectedModels / handleUngroupFolder / handleSplitImportGroup / handleRenameFolder / handleRenameModel</t>
  </si>
  <si>
    <t xml:space="preserve">Thin passthroughs from the Models panel to the hook's grouping and rename functions.</t>
  </si>
  <si>
    <t xml:space="preserve">page.tsx:5657-5679</t>
  </si>
  <si>
    <t xml:space="preserve">Reads: none
Writes: via hook</t>
  </si>
  <si>
    <t xml:space="preserve">Mostly React — one-line wrappers.</t>
  </si>
  <si>
    <t xml:space="preserve">modelGroupingHistory (inside hook)</t>
  </si>
  <si>
    <t xml:space="preserve">Partial — scene group / ungroup exist; no rename/split-import-group</t>
  </si>
  <si>
    <t xml:space="preserve">ModelsPanel</t>
  </si>
  <si>
    <t xml:space="preserve">No (ids passed)</t>
  </si>
  <si>
    <t xml:space="preserve">scene.groupModels, ungroupModels, ungroupGroup, splitImportGroup, renameGroup, renameModel</t>
  </si>
  <si>
    <t xml:space="preserve">scene-autosave-wiring</t>
  </si>
  <si>
    <t xml:space="preserve">useSceneAutosave({...})</t>
  </si>
  <si>
    <t xml:space="preserve">Feeds the autosave hook every field the VOXL writer accepts: models, active/selected ids, plates, activePlateId, plateName, printer bundle, plateOrdering, and the save path so the sidecar follows the project.</t>
  </si>
  <si>
    <t xml:space="preserve">page.tsx:1194-1221</t>
  </si>
  <si>
    <t xml:space="preserve">Reads: scene.models/activeModelId/selectedModelIds/plates/activePlateId/plateName/voxlPrinterBundle/plateOrdering, activeSceneFilePath, sceneFormatChunked
Writes: sceneFormatChunked (on upgrade)</t>
  </si>
  <si>
    <t xml:space="preserve">Mostly React — wiring; the 'which fields go into a save' list is the rule.</t>
  </si>
  <si>
    <t xml:space="preserve">useSceneAutosave, ExportManager.exportScene</t>
  </si>
  <si>
    <t xml:space="preserve">Partial — CLI saveVoxl must carry the same field list (ADR rule 6); manual save and autosave each restate it</t>
  </si>
  <si>
    <t xml:space="preserve">None (autosave does not touch history)</t>
  </si>
  <si>
    <t xml:space="preserve">internal</t>
  </si>
  <si>
    <t xml:space="preserve">The field list is restated here and in performTopBarSaveScene; a shared buildSceneSaveContext would pin it.</t>
  </si>
  <si>
    <t xml:space="preserve">buildVoxlSaveContext({ models, activeModelId, selectedModelIds, plates, activePlateId, plateName, printer, plateOrdering })</t>
  </si>
  <si>
    <t xml:space="preserve">Round-trip: 2-plate scene with printer bundle and custom ordering -&gt; autosave payload contains all 8 fields.</t>
  </si>
  <si>
    <t xml:space="preserve">window.__df_flushAutosave set at 1224-1227 for the updater</t>
  </si>
  <si>
    <t xml:space="preserve">No (whole scene)</t>
  </si>
  <si>
    <t xml:space="preserve">save-baseline-dirty</t>
  </si>
  <si>
    <t xml:space="preserve">markSceneSaveBaseline / recomputeUnsavedSceneChanges / subscribeHistory effect</t>
  </si>
  <si>
    <t xml:space="preserve">Unsaved-changes rule: the scene is dirty when it has models and the undo count, redo count or model count differs from the baseline taken at the last save/open/empty.</t>
  </si>
  <si>
    <t xml:space="preserve">page.tsx:1770-1801</t>
  </si>
  <si>
    <t xml:space="preserve">Reads: getUndoCount, getRedoCount, scene.models.length
Writes: sceneSaveBaselineRef, hasUnsavedSceneChanges(+Ref)</t>
  </si>
  <si>
    <t xml:space="preserve">Mixed — the predicate is pure; the subscription and refs are React.</t>
  </si>
  <si>
    <t xml:space="preserve">history store (getUndoCount/getRedoCount/subscribeHistory)</t>
  </si>
  <si>
    <t xml:space="preserve">None — CLI has no dirty concept</t>
  </si>
  <si>
    <t xml:space="preserve">Reads history counts only</t>
  </si>
  <si>
    <t xml:space="preserve">handleRequestNewScene, close-program flow</t>
  </si>
  <si>
    <t xml:space="preserve">Counts-based: an undo then a different edit with equal counts reads clean. Worth a decision.</t>
  </si>
  <si>
    <t xml:space="preserve">isSceneDirty({ baseline:{undo,redo,modelCount}, current:{undo,redo,modelCount} }): boolean</t>
  </si>
  <si>
    <t xml:space="preserve">baseline {2,0,1}: current {2,0,1}-&gt;clean; {3,0,1}-&gt;dirty; 0 models-&gt;clean even if counts differ.</t>
  </si>
  <si>
    <t xml:space="preserve">slice-thumbnail-per-plate</t>
  </si>
  <si>
    <t xml:space="preserve">captureSliceThumbnailPng</t>
  </si>
  <si>
    <t xml:space="preserve">Frames the export thumbnail on the given plate's build volume so each plate's file gets its own picture; falls back to the default capture.</t>
  </si>
  <si>
    <t xml:space="preserve">page.tsx:2944-2950</t>
  </si>
  <si>
    <t xml:space="preserve">Reads: scene.plateFrames, plateVolumeBounds
Writes: None</t>
  </si>
  <si>
    <t xml:space="preserve">Mostly React — canvas capture.</t>
  </si>
  <si>
    <t xml:space="preserve">exportThumbnailOptions / captureExportThumbnailPng</t>
  </si>
  <si>
    <t xml:space="preserve">None — CLI writes no thumbnail</t>
  </si>
  <si>
    <t xml:space="preserve">Needs the live WebGL canvas.</t>
  </si>
  <si>
    <t xml:space="preserve">Plate 2 thumbnail excludes plate-1 models.</t>
  </si>
  <si>
    <t xml:space="preserve">No (plateId param)</t>
  </si>
  <si>
    <t xml:space="preserve">before-slice-start</t>
  </si>
  <si>
    <t xml:space="preserve">handleBeforeSliceStart / handlePreSliceSceneSave / suggestedSliceOutputFilename</t>
  </si>
  <si>
    <t xml:space="preserve">Pre-slice gate: preview slices straight away; file/uvtools picks a path (batch reuses the folder); upload/print picks a reachable printer (picker if several or material needed) and confirms print. Output filename from the active model name else the printer name, sanitised, with the profile's extension. Flushes autosave first.</t>
  </si>
  <si>
    <t xml:space="preserve">page.tsx:4135-4269</t>
  </si>
  <si>
    <t xml:space="preserve">Reads: scene.activeModel, scene.models[0], activePrinterProfile, printer fleet
Writes: pre-slice refs, picker state</t>
  </si>
  <si>
    <t xml:space="preserve">Mostly React — awaits on dialogs; filename sanitiser is pure.</t>
  </si>
  <si>
    <t xml:space="preserve">resolveOutputFileExtension, sliceFileBaseName, joinSliceOutputPath</t>
  </si>
  <si>
    <t xml:space="preserve">None — CLI takes --o</t>
  </si>
  <si>
    <t xml:space="preserve">ExportPanelStack / SlicingPanel</t>
  </si>
  <si>
    <t xml:space="preserve">Awaits user pickers.</t>
  </si>
  <si>
    <t xml:space="preserve">sliceOutputFileName({ modelName, printerName, format, version })</t>
  </si>
  <si>
    <t xml:space="preserve">Model 'a/b c.stl' -&gt; 'a_b_c.ctb'.</t>
  </si>
  <si>
    <t xml:space="preserve">Yes — active model for file name</t>
  </si>
  <si>
    <t xml:space="preserve">top-bar-save-scene</t>
  </si>
  <si>
    <t xml:space="preserve">performTopBarSaveScene</t>
  </si>
  <si>
    <t xml:space="preserve">Manual Save: saves VOXL with only the VISIBLE models if any are visible (else all), plus selection, plates, active plate, plate name, printer, ordering and a thumbnail. Sets the active path, deletes the old sidecar after Save As, latches 3.1 format, re-baselines and clears autosave.</t>
  </si>
  <si>
    <t xml:space="preserve">Reads: scene.models (visible filter), scene ids, plates, printer, activeSceneFilePath, supportsRef
Writes: activeSceneFilePath, loadedSceneSaveSource, preferredOverwriteScenePathRef, toasts, sceneFormatChunked, baseline</t>
  </si>
  <si>
    <t xml:space="preserve">Mixed — scope rule + field list are pure; thumbnail capture (RAF x2, cross-section toggle), Tauri path, toasts are React.</t>
  </si>
  <si>
    <t xml:space="preserve">ExportManager.exportScene, resolveEntirePlateExportBaseName, deleteAutosaveSidecarForProject</t>
  </si>
  <si>
    <t xml:space="preserve">Partial — CLI saveVoxl writes the whole doc; no visible-only scoping</t>
  </si>
  <si>
    <t xml:space="preserve">None (calls markSceneSaveBaseline)</t>
  </si>
  <si>
    <t xml:space="preserve">internal: saveCurrentSceneNow, queueTopBarSaveScene (Ctrl+S, TopBar Save/Save As, save-and-close/new)</t>
  </si>
  <si>
    <t xml:space="preserve">Med — — confirm the visible-only scope is intended (ExportManager scopes supports to it too)</t>
  </si>
  <si>
    <t xml:space="preserve">SURPRISE: hidden models are dropped from a manual save when any model is visible (autosave keeps all). Thumbnail needs the live canvas.</t>
  </si>
  <si>
    <t xml:space="preserve">resolveSaveScope({ models:{id,visible}[] }): ids; buildVoxlSaveContext({...})</t>
  </si>
  <si>
    <t xml:space="preserve">Scene with 1 visible + 1 hidden model: manual save writes 1 model and that model's supports; autosave writes 2. All hidden: writes both.</t>
  </si>
  <si>
    <t xml:space="preserve">No (whole scene) but visible-only scope is implicit</t>
  </si>
  <si>
    <t xml:space="preserve">save-path-resolution</t>
  </si>
  <si>
    <t xml:space="preserve">resolveSceneSaveNativePath / saveCurrentSceneNow / handleTopBarSaveScene / handleTopBarSaveSceneAs / queueTopBarSaveScene</t>
  </si>
  <si>
    <t xml:space="preserve">Decides where Ctrl+S writes: a loaded VOXL with a native path asks overwrite / save-as / cancel once, then remembers; a VOXL with no native path (blob cache) goes straight to Save As; a non-VOXL import saves as a new file. Queues saves so only one is in flight.</t>
  </si>
  <si>
    <t xml:space="preserve">page.tsx:4726-4889</t>
  </si>
  <si>
    <t xml:space="preserve">Reads: activeSceneFilePath, loadedSceneSaveSource, preferredOverwriteScenePathRef
Writes: preferredOverwriteScenePathRef, save queue refs</t>
  </si>
  <si>
    <t xml:space="preserve">Mostly React — modal promise and queue; the path decision table is pure.</t>
  </si>
  <si>
    <t xml:space="preserve">normalizeActiveVoxlScenePath, getFileExtension</t>
  </si>
  <si>
    <t xml:space="preserve">None — CLI always overwrites its input path</t>
  </si>
  <si>
    <t xml:space="preserve">TopBar, Ctrl+S hotkey effect, SAVE_AS action effect, close/new flows</t>
  </si>
  <si>
    <t xml:space="preserve">Await on a user modal mid-decision.</t>
  </si>
  <si>
    <t xml:space="preserve">resolveSaveTarget({ activePath, loadedSource, rememberedOverwritePath }): {kind:'overwrite'|'ask'|'save-as', path?}</t>
  </si>
  <si>
    <t xml:space="preserve">loaded .voxl with path, not remembered -&gt; ask; remembered -&gt; overwrite; .stl source -&gt; new file.</t>
  </si>
  <si>
    <t xml:space="preserve">empty-scene-reset</t>
  </si>
  <si>
    <t xml:space="preserve">useEffect (scene.models.length === 0)</t>
  </si>
  <si>
    <t xml:space="preserve">When the scene becomes empty: drops the save target path, resets format to chunked, closes save/close/new-scene modals, cancels a pending save-choice prompt and re-baselines. 'Empty scene' is the app's definition of 'no project'.</t>
  </si>
  <si>
    <t xml:space="preserve">page.tsx:4891-4910</t>
  </si>
  <si>
    <t xml:space="preserve">Reads: scene.models.length
Writes: activeSceneFilePath, loadedSceneSaveSource, sceneFormatChunked, modals, baseline</t>
  </si>
  <si>
    <t xml:space="preserve">Mostly React — the rule 'empty scene = no project' is one line.</t>
  </si>
  <si>
    <t xml:space="preserve">Hidden coupling: startNewScene relies on this effect to finish the new-scene job.</t>
  </si>
  <si>
    <t xml:space="preserve">Delete last model -&gt; next save prompts Save As (no remembered path).</t>
  </si>
  <si>
    <t xml:space="preserve">startNewScene depends on this effect firing</t>
  </si>
  <si>
    <t xml:space="preserve">autosave-recovery-discovery</t>
  </si>
  <si>
    <t xml:space="preserve">useEffect (resolveAutosaveRecovery)</t>
  </si>
  <si>
    <t xml:space="preserve">On startup, offers recovery only if enabled, in Tauri, not launched with a scene file, and the found autosave is not marked clean.</t>
  </si>
  <si>
    <t xml:space="preserve">page.tsx:4925-4980</t>
  </si>
  <si>
    <t xml:space="preserve">Reads: sceneAutosaveSettings, pendingStartupSceneHandoff, Tauri get_launch_scene_files
Writes: autosaveRecovery</t>
  </si>
  <si>
    <t xml:space="preserve">Mostly React — Tauri invoke and async; rule = 'not clean and no launch file'.</t>
  </si>
  <si>
    <t xml:space="preserve">resolveAutosaveRecovery</t>
  </si>
  <si>
    <t xml:space="preserve">Tauri.</t>
  </si>
  <si>
    <t xml:space="preserve">Launch file present -&gt; no prompt.</t>
  </si>
  <si>
    <t xml:space="preserve">clear-or-delete-plate</t>
  </si>
  <si>
    <t xml:space="preserve">onClearPlate / plate trash confirm (JSX)</t>
  </si>
  <si>
    <t xml:space="preserve">Plate bin rule: on a non-first plate when there is more than one, the bin deletes the plate (with its models; immediately if empty); otherwise it clears the plate by deleting only the models on the active plate (not the selection).</t>
  </si>
  <si>
    <t xml:space="preserve">page.tsx:10855-10866, page.tsx:11683-11701</t>
  </si>
  <si>
    <t xml:space="preserve">Reads: scene.plates, activePlateId, models, plateFrames
Writes: plates, models</t>
  </si>
  <si>
    <t xml:space="preserve">Mostly pure — intent rule + modelsOnPlate; rest is modal.</t>
  </si>
  <si>
    <t xml:space="preserve">None — no CLI remove-plate/clear-plate</t>
  </si>
  <si>
    <t xml:space="preserve">via scene.removePlate / scene.deleteModels</t>
  </si>
  <si>
    <t xml:space="preserve">SceneCanvas plate widget, confirm modal</t>
  </si>
  <si>
    <t xml:space="preserve">Rule restated in two JSX closures.</t>
  </si>
  <si>
    <t xml:space="preserve">plateTrashIntent({ plates, plateId, models, frames }): 'delete-now'|'delete'|'clear'</t>
  </si>
  <si>
    <t xml:space="preserve">Plate 1 of 2 -&gt; clear; empty plate 2 -&gt; deleted immediately; plate 2 with models -&gt; confirm then delete with models.</t>
  </si>
  <si>
    <t xml:space="preserve">scene.removePlate, scene.deleteModels</t>
  </si>
  <si>
    <t xml:space="preserve">new-scene</t>
  </si>
  <si>
    <t xml:space="preserve">startNewScene / handleRequestNewScene / handleDiscardAndNewScene / handleSaveAndNewScene</t>
  </si>
  <si>
    <t xml:space="preserve">New Scene = delete every model through scene.deleteModels (one undoable entry); the empty-scene effect then drops the save target. Asks first if dirty.</t>
  </si>
  <si>
    <t xml:space="preserve">page.tsx:5067-5105</t>
  </si>
  <si>
    <t xml:space="preserve">Reads: scene.models, hasUnsavedSceneChangesRef
Writes: scene (deleteModels), modal state</t>
  </si>
  <si>
    <t xml:space="preserve">Mostly React — modal flow; the rule is 'new = delete all, undoable'.</t>
  </si>
  <si>
    <t xml:space="preserve">Partial — 'scene create' writes a fresh file; different semantics (not undoable, plates reset)</t>
  </si>
  <si>
    <t xml:space="preserve">scene.deleteModels history entry</t>
  </si>
  <si>
    <t xml:space="preserve">TopBar onNewScene</t>
  </si>
  <si>
    <t xml:space="preserve">Med — — check whether extra plates should survive New Scene</t>
  </si>
  <si>
    <t xml:space="preserve">Plates are NOT reset (deleteModels, not deleteModelsAndExtraPlates) — check intent.</t>
  </si>
  <si>
    <t xml:space="preserve">n/a (calls deleteModels with explicit ids)</t>
  </si>
  <si>
    <t xml:space="preserve">3 plates with models -&gt; New Scene -&gt; 0 models; plates count (pin current behaviour); undo restores models.</t>
  </si>
  <si>
    <t xml:space="preserve">No (all models)</t>
  </si>
  <si>
    <t xml:space="preserve">scene.deleteModels</t>
  </si>
  <si>
    <t xml:space="preserve">select-all-and-delete</t>
  </si>
  <si>
    <t xml:space="preserve">Ctrl+A branch of hotkey effect + registerDeleteHandler effects + model-clicked listener</t>
  </si>
  <si>
    <t xml:space="preserve">Ctrl+A selects all visible models (in hollowing: all hole punches) and sets a select-all flag. Delete with select-all on deletes models AND extra plates (scene left as one empty plate); otherwise deletes the selection. A model click clears the flag.</t>
  </si>
  <si>
    <t xml:space="preserve">page.tsx:9435-9484, page.tsx:9898-9936</t>
  </si>
  <si>
    <t xml:space="preserve">Reads: scene.models, selectedModelIds, isSelectAllModelsActive
Writes: scene models/plates</t>
  </si>
  <si>
    <t xml:space="preserve">Mostly React — hotkey store subscriptions; delete rule is pure.</t>
  </si>
  <si>
    <t xml:space="preserve">registerDeleteHandler</t>
  </si>
  <si>
    <t xml:space="preserve">Partial — scene remove-model (one id, no plates)</t>
  </si>
  <si>
    <t xml:space="preserve">via scene.deleteModels / deleteModelsAndExtraPlates</t>
  </si>
  <si>
    <t xml:space="preserve">hotkeyStore, delete hotkey registry (priority 30/20)</t>
  </si>
  <si>
    <t xml:space="preserve">Select-all semantics carried by a UI flag, not the scene.</t>
  </si>
  <si>
    <t xml:space="preserve">deleteTargets({ selectedIds, selectAll }): {modelIds, removeExtraPlates}</t>
  </si>
  <si>
    <t xml:space="preserve">Ctrl+A on 3 plates then Delete -&gt; 1 empty plate; click a model then Delete -&gt; only selection deleted.</t>
  </si>
  <si>
    <t xml:space="preserve">registerDeleteHandler priorities; window events 'model-clicked'/'model-deselected' dispatched by SceneCanvas</t>
  </si>
  <si>
    <t xml:space="preserve">Yes — selection</t>
  </si>
  <si>
    <t xml:space="preserve">scene.deleteModels, scene.deleteModelsAndExtraPlates, setSelectedModelIds, setActiveModelId</t>
  </si>
  <si>
    <t xml:space="preserve">sc-align-live-transform-to-lift</t>
  </si>
  <si>
    <t xml:space="preserve">alignLiveTransformToLift</t>
  </si>
  <si>
    <t xml:space="preserve">Snaps a live gizmo transform so the model's lowest point is at the lift distance (auto-lift) or 0.001mm when auto-snap is on.</t>
  </si>
  <si>
    <t xml:space="preserve">SceneCanvas.tsx:1054-1088</t>
  </si>
  <si>
    <t xml:space="preserve">Reads: autoLift, autoSnapEnabled, liftDistance, model geometry
Writes: None (returns transform)</t>
  </si>
  <si>
    <t xml:space="preserve">Mostly pure — computeLowestZ over a matrix; THREE types.</t>
  </si>
  <si>
    <t xml:space="preserve">computeLowestZ, quaternionFromGlobalEuler</t>
  </si>
  <si>
    <t xml:space="preserve">internal SceneCanvas live drag</t>
  </si>
  <si>
    <t xml:space="preserve">Fourth copy of 'seat on plate' (vs getModelLowestWorldZ/buildLiftDropUpdates); 0.001 vs 0 differs from page Drop.</t>
  </si>
  <si>
    <t xml:space="preserve">n/a (use selectionLiftDrop.getModelLowestWorldZ)</t>
  </si>
  <si>
    <t xml:space="preserve">Same model: alignLiveTransformToLift z vs buildLiftDropUpdates z agree within 0.001.</t>
  </si>
  <si>
    <t xml:space="preserve">No (model passed)</t>
  </si>
  <si>
    <t xml:space="preserve">sc-volume-boxes-and-oob</t>
  </si>
  <si>
    <t xml:space="preserve">buildVolumeBounds / plateVolumeBoxes / volumeBoxForModel / computeModelWorldBounds / modelWorldBounds / outOfBoundsModels</t>
  </si>
  <si>
    <t xml:space="preserve">Viewport out-of-bounds: model mesh bounds unioned with its supports/raft bounds, tested against its plate's volume minus safety margins; live group transforms during drags; suppressed during rotate grace.</t>
  </si>
  <si>
    <t xml:space="preserve">SceneCanvas.tsx:2022-2210</t>
  </si>
  <si>
    <t xml:space="preserve">Reads: models, plateFrames, activeBuildVolumeSettings (margins), support store, live meshes
Writes: memo values</t>
  </si>
  <si>
    <t xml:space="preserve">Mixed — rule is pure; reads THREE group refs during drag.</t>
  </si>
  <si>
    <t xml:space="preserve">isBoundsOutsideVolume, compute*ModelWorldBounds, resolveModelPlateId</t>
  </si>
  <si>
    <t xml:space="preserve">SceneCanvas shader/overlay</t>
  </si>
  <si>
    <t xml:space="preserve">Differs from page.tsx rule (supports + margins included here).</t>
  </si>
  <si>
    <t xml:space="preserve">modelsOutsideVolumes({ ..., margins, includeSupports })</t>
  </si>
  <si>
    <t xml:space="preserve">Model inside volume but trunk outside margin -&gt; OOB here, in-bounds on page.</t>
  </si>
  <si>
    <t xml:space="preserve">Partly — active plate for drawn volume</t>
  </si>
  <si>
    <t xml:space="preserve">resin-in-bounds-models</t>
  </si>
  <si>
    <t xml:space="preserve">resinBuildVolumeBounds / resinInBoundsModelIdSet / visibleResinModels / sceneResinModels</t>
  </si>
  <si>
    <t xml:space="preserve">Models counted in the resin estimate: visible and fully inside the volume of the plate they stand on (approx bounds first, precise when approx is outside). Per-plate figure uses the active plate; scene total uses all plates.</t>
  </si>
  <si>
    <t xml:space="preserve">page.tsx:3073-3168</t>
  </si>
  <si>
    <t xml:space="preserve">Reads: scene.view3dSettings, scene.models, volumeBoundsForModel, activePlateModelIds
Writes: memo values</t>
  </si>
  <si>
    <t xml:space="preserve">Mostly pure — bounds tests; THREE.Box3 and geometry bounds.</t>
  </si>
  <si>
    <t xml:space="preserve">computeApproxModelWorldBounds, computePreciseModelWorldBounds, isBoundsOutsideVolume</t>
  </si>
  <si>
    <t xml:space="preserve">internal: resin estimate effect, supportAndRaftResinMl</t>
  </si>
  <si>
    <t xml:space="preserve">resinBuildVolumeBounds duplicates buildVolumeBounds (7430) exactly.</t>
  </si>
  <si>
    <t xml:space="preserve">modelsInsideVolumes({ models, frames, volume, eps }): ids</t>
  </si>
  <si>
    <t xml:space="preserve">Model half outside plate -&gt; excluded from resin, still sliceable.</t>
  </si>
  <si>
    <t xml:space="preserve">Yes — active plate for per-plate figure</t>
  </si>
  <si>
    <t xml:space="preserve">sliceable-models</t>
  </si>
  <si>
    <t xml:space="preserve">sliceableModelIdSet / slicingModels / excludedSliceModelIds</t>
  </si>
  <si>
    <t xml:space="preserve">What gets sliced: visible models on the active plate whose bounds overlap their plate's volume at all (partly-out models are kept and cropped by the raster; only fully-disjoint ones are excluded). The excluded list is shown in the Export panel.</t>
  </si>
  <si>
    <t xml:space="preserve">page.tsx:3128-3157, page.tsx:6840-6851</t>
  </si>
  <si>
    <t xml:space="preserve">Reads: scene.models, volumeBoundsForModel, resinBuildVolumeBounds, activePlateModelIds
Writes: memo values</t>
  </si>
  <si>
    <t xml:space="preserve">Mostly pure — overlap tests over bounds; THREE.Box3.</t>
  </si>
  <si>
    <t xml:space="preserve">isBoundsDisjointFromVolume, isBoundsOutsideVolume, compute*ModelWorldBounds, modelsOnPlate</t>
  </si>
  <si>
    <t xml:space="preserve">Partial — scene slice scopes to plate (plateSliceScope) but does NOT drop disjoint models</t>
  </si>
  <si>
    <t xml:space="preserve">ExportPanelStack (excludedSliceModelIds), useSlicingManager (hasGeometry), Z range</t>
  </si>
  <si>
    <t xml:space="preserve">Needs mesh world bounds (geometry); the CLI has positions so could compute them.</t>
  </si>
  <si>
    <t xml:space="preserve">sliceScope({ models:{id,visible,bounds}[], plateId, frames, volume, eps }): { included, excluded }</t>
  </si>
  <si>
    <t xml:space="preserve">Plate with model fully outside its volume (z&gt;maxZ start) -&gt; excluded and listed; half-overlapping -&gt; included. Add check:scene-slice case.</t>
  </si>
  <si>
    <t xml:space="preserve">scene-z-range</t>
  </si>
  <si>
    <t xml:space="preserve">accurateMaxZ / fallbackZRange / normalizeToSlicerZRange / buildProjectedZRangeCacheKey / Z-range effect</t>
  </si>
  <si>
    <t xml:space="preserve">Z range for the layer slider and slicer: max Z from actual transformed vertices of slicing models; min 0 when supports/raft exist; in printing/export modes clamp to printer build height and floor at 0; projected range computed at idle in printing, cached (8 entries).</t>
  </si>
  <si>
    <t xml:space="preserve">page.tsx:6835-7023</t>
  </si>
  <si>
    <t xml:space="preserve">Reads: slicingModels, supports snapshot, raft settings, activePrinterProfile.buildVolumeMm.height, scene.sceneBounds, scene.mode
Writes: sceneZRange</t>
  </si>
  <si>
    <t xml:space="preserve">Mixed — maxZ and clamp are pure; caching/idle callback is React.</t>
  </si>
  <si>
    <t xml:space="preserve">quaternionFromGlobalEuler, buildProjectedCrossSectionZRange</t>
  </si>
  <si>
    <t xml:space="preserve">None — CLI slicer computes its own max Z</t>
  </si>
  <si>
    <t xml:space="preserve">useSlicingManager({zRange})</t>
  </si>
  <si>
    <t xml:space="preserve">Vertex loop over THREE buffers; idle scheduling.</t>
  </si>
  <si>
    <t xml:space="preserve">sceneZRange({ models, hasSupportsOrRaft, buildHeightMm, slicerAligned }): {min,max}</t>
  </si>
  <si>
    <t xml:space="preserve">Rotated cube: accurateMaxZ equals slicer's max (not Box3.applyMatrix4 overestimate); model 200mm on 150mm printer -&gt; 150.</t>
  </si>
  <si>
    <t xml:space="preserve">Yes — via slicingModels (active plate)</t>
  </si>
  <si>
    <t xml:space="preserve">out-of-bounds-models-page</t>
  </si>
  <si>
    <t xml:space="preserve">computeModelWorldBounds / buildVolumeBounds / outsidePlateModelIds / inBoundsModelIds</t>
  </si>
  <si>
    <t xml:space="preserve">Models outside the volume of the plate they stand on (using the live hook transform for the active model); feeds the Models panel and Prepare warnings.</t>
  </si>
  <si>
    <t xml:space="preserve">page.tsx:7406-7482</t>
  </si>
  <si>
    <t xml:space="preserve">Reads: scene.models, view3dSettings, transformMgr.transform, volumeBoundsForModel
Writes: memo values</t>
  </si>
  <si>
    <t xml:space="preserve">Mostly pure — bounds tests.</t>
  </si>
  <si>
    <t xml:space="preserve">isBoundsOutsideVolume, compute*ModelWorldBounds, shouldUsePreciseBoundsForTransform</t>
  </si>
  <si>
    <t xml:space="preserve">PreparePanelStack, ModelsPanel</t>
  </si>
  <si>
    <t xml:space="preserve">Third copy of the out-of-bounds rule (also resinInBounds and SceneCanvas.outOfBoundsModels, which adds supports and margins).</t>
  </si>
  <si>
    <t xml:space="preserve">modelsOutsideVolumes({ models, frames, volume, eps }): ids</t>
  </si>
  <si>
    <t xml:space="preserve">Same scene: page outsidePlateModelIds vs SceneCanvas outOfBoundsModelIds differ only by supports/margins (pin it).</t>
  </si>
  <si>
    <t xml:space="preserve">Partly — live transform for active</t>
  </si>
  <si>
    <t xml:space="preserve">plate-volume-bounds</t>
  </si>
  <si>
    <t xml:space="preserve">plateVolumeBounds</t>
  </si>
  <si>
    <t xml:space="preserve">Builds one world-space build-volume box per plate from scene.plateFrames (x/y from the frame, z 0..maxZMm). Null when the build volume is disabled.</t>
  </si>
  <si>
    <t xml:space="preserve">page.tsx:806-813</t>
  </si>
  <si>
    <t xml:space="preserve">Reads: scene.plateFrames, scene.view3dSettings.enabled/maxZMm
Writes: memo value</t>
  </si>
  <si>
    <t xml:space="preserve">Mostly pure — a map from frames to boxes; only THREE.Box3 makes it non-pure. No margins here, unlike SceneCanvas.plateVolumeBoxes which subtracts safety margins.</t>
  </si>
  <si>
    <t xml:space="preserve">plateLayout.computePlateFrames (via scene.plateFrames)</t>
  </si>
  <si>
    <t xml:space="preserve">None — CLI has frames (computePlateFrames) but no volume box</t>
  </si>
  <si>
    <t xml:space="preserve">internal: volumeBoundsForModel, captureSliceThumbnailPng</t>
  </si>
  <si>
    <t xml:space="preserve">THREE.Box3 return type; two diverging copies (page: no margins, SceneCanvas: margins).</t>
  </si>
  <si>
    <t xml:space="preserve">plateVolumeBoxes({ frames, maxZMm }): Map&lt;plateId, {min:{x,y,z},max:{x,y,z}}&gt;</t>
  </si>
  <si>
    <t xml:space="preserve">2 plates, center origin, 120x68x150: box per plate equals frame rect with z 0..150; disabled volume -&gt; null.</t>
  </si>
  <si>
    <t xml:space="preserve">No (all plates)</t>
  </si>
  <si>
    <t xml:space="preserve">scene.plateFrames (memo)</t>
  </si>
  <si>
    <t xml:space="preserve">volume-bounds-for-model</t>
  </si>
  <si>
    <t xml:space="preserve">volumeBoundsForModel</t>
  </si>
  <si>
    <t xml:space="preserve">Picks the build volume a model is judged against: the plate it stands on (scene.resolveModelPlateId), else null so callers fall back to the single-volume box.</t>
  </si>
  <si>
    <t xml:space="preserve">page.tsx:819-822</t>
  </si>
  <si>
    <t xml:space="preserve">Reads: plateVolumeBounds, scene.resolveModelPlateId
Writes: None</t>
  </si>
  <si>
    <t xml:space="preserve">Mostly pure — one lookup; wraps the hook's resolveModelPlateId.</t>
  </si>
  <si>
    <t xml:space="preserve">plateLayout.resolveModelPlateId (through scene.resolveModelPlateId)</t>
  </si>
  <si>
    <t xml:space="preserve">Partial — CLI slice uses resolveModelPlateId directly via plateSliceScope</t>
  </si>
  <si>
    <t xml:space="preserve">internal: resinInBoundsModelIdSet, sliceableModelIdSet, outsidePlateModelIds</t>
  </si>
  <si>
    <t xml:space="preserve">None beyond THREE boxes.</t>
  </si>
  <si>
    <t xml:space="preserve">volumeForModel({ model:{transform:{position},plateId?}, frames, maxZMm })</t>
  </si>
  <si>
    <t xml:space="preserve">Model at plate-2 frame centre with stale plateId=plate-1 -&gt; plate-2 box; model with no frame hit and unknown plateId -&gt; first plate.</t>
  </si>
  <si>
    <t xml:space="preserve">scene.resolveModelPlateId</t>
  </si>
  <si>
    <t xml:space="preserve">lift-drop-selection</t>
  </si>
  <si>
    <t xml:space="preserve">placeSelectedModelsAtWorldZ / handleLiftSelectedModels / handleDropSelectedModels</t>
  </si>
  <si>
    <t xml:space="preserve">Lift puts the selection's lowest point at the lift distance, Drop at 0, moving all targets together.</t>
  </si>
  <si>
    <t xml:space="preserve">page.tsx:9191-9224</t>
  </si>
  <si>
    <t xml:space="preserve">Reads: selection, transformMgr.liftDistance
Writes: scene transforms</t>
  </si>
  <si>
    <t xml:space="preserve">Mostly pure.</t>
  </si>
  <si>
    <t xml:space="preserve">selectionLiftDrop.buildLiftDropUpdates</t>
  </si>
  <si>
    <t xml:space="preserve">Partial — place-on-platform sets z = -minZ of raw STL, ignores rotation/scale and lift</t>
  </si>
  <si>
    <t xml:space="preserve">inside scene.updateModelTransforms (history on by default)</t>
  </si>
  <si>
    <t xml:space="preserve">transform panel</t>
  </si>
  <si>
    <t xml:space="preserve">liftDropModels({ models, ids, targetZ })</t>
  </si>
  <si>
    <t xml:space="preserve">Rotated model, Drop -&gt; lowest transformed vertex z=0 (CLI differs: raw mesh minZ).</t>
  </si>
  <si>
    <t xml:space="preserve">Yes — selection else active</t>
  </si>
  <si>
    <t xml:space="preserve">auto-lift-toggle</t>
  </si>
  <si>
    <t xml:space="preserve">handleAutoLiftChange / disableAutoLiftForManualZMove</t>
  </si>
  <si>
    <t xml:space="preserve">Auto-lift toggled: with &gt;1 selected, lift/drop them together first; then clear manual-Z overrides on the selection. A manual Z move sets the override on every selected model.</t>
  </si>
  <si>
    <t xml:space="preserve">page.tsx:9226-9247</t>
  </si>
  <si>
    <t xml:space="preserve">Reads: selection, liftDistance
Writes: manualZMoveOverride per model, transformMgr.autoLift</t>
  </si>
  <si>
    <t xml:space="preserve">Mixed.</t>
  </si>
  <si>
    <t xml:space="preserve">None for the override</t>
  </si>
  <si>
    <t xml:space="preserve">transform panel, handleTransformStart</t>
  </si>
  <si>
    <t xml:space="preserve">manualZMoveOverride lives on models but auto-lift is a viewer pref.</t>
  </si>
  <si>
    <t xml:space="preserve">n/a (two hook calls)</t>
  </si>
  <si>
    <t xml:space="preserve">Two selected, enable auto-lift -&gt; both lifted, overrides cleared.</t>
  </si>
  <si>
    <t xml:space="preserve">scene.setModelManualZMoveOverride</t>
  </si>
  <si>
    <t xml:space="preserve">arrange-plate-button</t>
  </si>
  <si>
    <t xml:space="preserve">onArrangePlate (JSX)</t>
  </si>
  <si>
    <t xml:space="preserve">The plate's own Arrange button: auto-arrange all models at 1mm with Z rotation, filling this plate only, as a per-run override.</t>
  </si>
  <si>
    <t xml:space="preserve">page.tsx:10841-10847</t>
  </si>
  <si>
    <t xml:space="preserve">Reads: none
Writes: via arrange manager</t>
  </si>
  <si>
    <t xml:space="preserve">useArrangeManager.handleAutoArrangeModels</t>
  </si>
  <si>
    <t xml:space="preserve">Partial — scene arrange has no plateFillMode</t>
  </si>
  <si>
    <t xml:space="preserve">via arrange manager</t>
  </si>
  <si>
    <t xml:space="preserve">SceneCanvas plate widget</t>
  </si>
  <si>
    <t xml:space="preserve">Settings hardcoded inline.</t>
  </si>
  <si>
    <t xml:space="preserve">Two plates, arrange plate 2 -&gt; plate 1 untouched.</t>
  </si>
  <si>
    <t xml:space="preserve">Partly — 'this plate' = active plate inside the manager</t>
  </si>
  <si>
    <t xml:space="preserve">support-aware-arrange-bounds</t>
  </si>
  <si>
    <t xml:space="preserve">supportBoundsByModelId / getArrangeTransform / getModelSupportAwareDimensionsMm / getModelSupportAwareFootprintPolygon</t>
  </si>
  <si>
    <t xml:space="preserve">Size a model for arrange/duplicate including its supports and raft: per-model support bounds from the support store, dimensions with an optional Z rotation, convex-hull footprint polygon. Uses the live hook transform for the active model.</t>
  </si>
  <si>
    <t xml:space="preserve">page.tsx:7496-7797</t>
  </si>
  <si>
    <t xml:space="preserve">Reads: support store, raft settings, transformMgr.transform, scene.mode/transformMode
Writes: memo values</t>
  </si>
  <si>
    <t xml:space="preserve">Mostly pure — geometry over support positions; THREE.Box3/Vector2.</t>
  </si>
  <si>
    <t xml:space="preserve">computeRaftFootprint helpers</t>
  </si>
  <si>
    <t xml:space="preserve">Partial — scene arrange ignores supports (uses ArrangeModel)</t>
  </si>
  <si>
    <t xml:space="preserve">useArrangeManager, duplicate preview effect</t>
  </si>
  <si>
    <t xml:space="preserve">Med — — 7530-7797 skimmed</t>
  </si>
  <si>
    <t xml:space="preserve">Only computed in arrange/duplicate tools; THREE types.</t>
  </si>
  <si>
    <t xml:space="preserve">supportAwareFootprint({ model, supports, raft, rotationZ? }): {width,depth,height, polygon}</t>
  </si>
  <si>
    <t xml:space="preserve">Model 10x10 with trunk at +8mm -&gt; width &gt;= 18 + root radius.</t>
  </si>
  <si>
    <t xml:space="preserve">Partly — live transform for active model</t>
  </si>
  <si>
    <t xml:space="preserve">prepare-hotkeys-arrange-all</t>
  </si>
  <si>
    <t xml:space="preserve">usePrepareTransformHotkeys({ onArrangeAll })</t>
  </si>
  <si>
    <t xml:space="preserve">Arrange-all hotkey picks the arrange algorithm from the panel settings: manual array, high precision or auto, for all models.</t>
  </si>
  <si>
    <t xml:space="preserve">page.tsx:7997-8010</t>
  </si>
  <si>
    <t xml:space="preserve">Reads: arrangeLayoutMode, arrangePrecisionMode
Writes: via arrange manager</t>
  </si>
  <si>
    <t xml:space="preserve">useArrangeManager</t>
  </si>
  <si>
    <t xml:space="preserve">Partial — scene arrange runs computeHighPrecisionArrangeUpdates only</t>
  </si>
  <si>
    <t xml:space="preserve">hotkey</t>
  </si>
  <si>
    <t xml:space="preserve">Algorithm choice is a UI setting.</t>
  </si>
  <si>
    <t xml:space="preserve">Hotkey with array layout -&gt; manual array.</t>
  </si>
  <si>
    <t xml:space="preserve">No ('all')</t>
  </si>
  <si>
    <t xml:space="preserve">duplicate-preview-layout</t>
  </si>
  <si>
    <t xml:space="preserve">useEffect duplicate preview 9500-9790</t>
  </si>
  <si>
    <t xml:space="preserve">Duplicate tool preview: array mode lays a centred XxYxZ grid around the source; auto mode fills a grid on the active plate (safety margins, nearest-to-source first, SAT polygon overlap against other models' footprints), spills the rest onto ghost plates positioned by the plate cascade; the source keeps its nearest slot.</t>
  </si>
  <si>
    <t xml:space="preserve">page.tsx:9500-9790</t>
  </si>
  <si>
    <t xml:space="preserve">Reads: scene.activeModel, models, plates, plateOrdering, view3dSettings, duplicate settings
Writes: duplicatePreviewTransforms, duplicateSourcePreviewTransform, duplicateGhostPlateOffsets</t>
  </si>
  <si>
    <t xml:space="preserve">Mostly pure — a full layout algorithm living in an effect that only sets state.</t>
  </si>
  <si>
    <t xml:space="preserve">plateCascadeOffsetMm, getModelSupportAwareFootprintPolygon</t>
  </si>
  <si>
    <t xml:space="preserve">Partial — scene duplicate offsets copies by a fixed vector; no grid, no plates</t>
  </si>
  <si>
    <t xml:space="preserve">None (preview); confirm is in useArrangeManager</t>
  </si>
  <si>
    <t xml:space="preserve">SceneCanvas ghosts, handleConfirmDuplicate</t>
  </si>
  <si>
    <t xml:space="preserve">Biggest pure rule hiding in page.tsx. High-precision branch defers elsewhere and has a side effect (clears manual Z override).</t>
  </si>
  <si>
    <t xml:space="preserve">layoutDuplicates({ source:{transform,footprint}, others:{footprint}[], plate:{rect,margins}, plates, ordering, count, spacing, mode, array }): { sourceSlot, slots, ghostPlateOffsets }</t>
  </si>
  <si>
    <t xml:space="preserve">10 copies of 30mm cube on 100x100 plate, spacing 2 -&gt; 9 on plate, 1 on one ghost plate at cascade offset; array 2x2 gap 5 -&gt; 4 slots centred on source.</t>
  </si>
  <si>
    <t xml:space="preserve">Yes — active model and active plate</t>
  </si>
  <si>
    <t xml:space="preserve">scene.plateOffsetFor, scene.setModelManualZMoveOverride</t>
  </si>
  <si>
    <t xml:space="preserve">copy-paste-hotkeys</t>
  </si>
  <si>
    <t xml:space="preserve">Ctrl+C / Ctrl+V / Ctrl+S branches of hotkey effect</t>
  </si>
  <si>
    <t xml:space="preserve">Ctrl+C copies selection else active (Prepare only); Ctrl+V pastes with auto-arrange at arrangeSpacingMm and optimistically adds cached resin volume x scale to the estimate; Ctrl+S saves when the scene has models.</t>
  </si>
  <si>
    <t xml:space="preserve">page.tsx:9938-10004</t>
  </si>
  <si>
    <t xml:space="preserve">Reads: scene, arrangeSpacingMm, resin cache refs
Writes: clipboard (hook), resin estimate</t>
  </si>
  <si>
    <t xml:space="preserve">Mostly React — key edge detection.</t>
  </si>
  <si>
    <t xml:space="preserve">hotkeyStore</t>
  </si>
  <si>
    <t xml:space="preserve">Paste resin-bump block duplicated from editor menu 'paste'.</t>
  </si>
  <si>
    <t xml:space="preserve">n/a (dispatch); resin bump -&gt; estimateAddedResinMl({baseMl, scale})</t>
  </si>
  <si>
    <t xml:space="preserve">Ctrl+V with cached base 2ml at scale 2 -&gt; estimate +16ml.</t>
  </si>
  <si>
    <t xml:space="preserve">hotkeyStore.subscribe</t>
  </si>
  <si>
    <t xml:space="preserve">scene.copySelectedModels, copyModel, pasteCopiedModelsAutoArrange</t>
  </si>
  <si>
    <t xml:space="preserve">sc-multi-selection-transform</t>
  </si>
  <si>
    <t xml:space="preserve">buildMultiSelectionTransformsFromActive</t>
  </si>
  <si>
    <t xml:space="preserve">Live multi-selection gizmo: move adds the active delta to all; rotate uses rotateSelectionFromActive about the pivot; scale scales offsets from the pivot and each scale by the active ratio, then preserves each bottom.</t>
  </si>
  <si>
    <t xml:space="preserve">SceneCanvas.tsx:2878-2949</t>
  </si>
  <si>
    <t xml:space="preserve">Reads: gizmo start snapshot, modelById, selectionRotationMode
Writes: None (returns map)</t>
  </si>
  <si>
    <t xml:space="preserve">rotateSelectionFromActive, preserveModelBottom</t>
  </si>
  <si>
    <t xml:space="preserve">Committed via onGizmoTransformGroupCommit</t>
  </si>
  <si>
    <t xml:space="preserve">SceneCanvas gizmo handlers</t>
  </si>
  <si>
    <t xml:space="preserve">Scale branch restates scaleSelectionFromActive with pivot.</t>
  </si>
  <si>
    <t xml:space="preserve">transformSelectionFromActive({ op, before, activeId, activeAfter, pivot, models })</t>
  </si>
  <si>
    <t xml:space="preserve">Scale 2x of two models about pivot -&gt; offsets doubled, bottoms preserved; matches page scaleSelectionFromActive.</t>
  </si>
  <si>
    <t xml:space="preserve">No (snapshot ids)</t>
  </si>
  <si>
    <t xml:space="preserve">sc-move-z-lock</t>
  </si>
  <si>
    <t xml:space="preserve">onMoveStart / onMove dragMoveLockZ</t>
  </si>
  <si>
    <t xml:space="preserve">Dragging an in-plane gizmo arrow pins the height (when its world direction has no Z), so a sideways drag cannot drift off the plate.</t>
  </si>
  <si>
    <t xml:space="preserve">SceneCanvas.tsx:7211-7272</t>
  </si>
  <si>
    <t xml:space="preserve">Reads: gizmo axis direction, source z
Writes: group position</t>
  </si>
  <si>
    <t xml:space="preserve">SceneCanvas gizmo</t>
  </si>
  <si>
    <t xml:space="preserve">Gizmo-frame dependent.</t>
  </si>
  <si>
    <t xml:space="preserve">Local-frame rotated model, drag X -&gt; z unchanged.</t>
  </si>
  <si>
    <t xml:space="preserve">Yes — active model</t>
  </si>
  <si>
    <t xml:space="preserve">destructive-transform-guard</t>
  </si>
  <si>
    <t xml:space="preserve">requestDestructiveTransformSupportDeletion (+WithContinuation, requestOrientSupportDeletionWithContinuation, handleConfirm/CancelDestructiveTransform)</t>
  </si>
  <si>
    <t xml:space="preserve">Rule: in Prepare, a rotate X/Y, scale, reset, place-on-face or mirror on models that carry supports must first delete those supports. Counts the target models' support primitives, opens a confirm dialog; confirm deletes supports (one history entry) then runs the continuation. Auto Orient always asks, in any mode.</t>
  </si>
  <si>
    <t xml:space="preserve">page.tsx:2384-2503</t>
  </si>
  <si>
    <t xml:space="preserve">Reads: support store (getSupportsForModel), scene.mode, scene.activeModelId, scene.models, pendingDestructiveTransform
Writes: pendingDestructiveTransform, continuation ref, gizmoResetNonce, supportRenderRefreshNonce</t>
  </si>
  <si>
    <t xml:space="preserve">Mixed — 'which models have supports, and how many' is pure; dialog/continuation is React.</t>
  </si>
  <si>
    <t xml:space="preserve">getSupportsForModel, MODEL_ID_COLLECTION_KEYS, deleteSupportsForModelLabel(s)</t>
  </si>
  <si>
    <t xml:space="preserve">None — CLI transform-model rotates/scales without touching supports (leaves supports floating)</t>
  </si>
  <si>
    <t xml:space="preserve">scene.deleteSupportsForModels(ids, label) -&gt; one history entry</t>
  </si>
  <si>
    <t xml:space="preserve">handleTransformStart, handleRotate/Scale/ResetSelectedModels, useMirrorManager, place-on-face, orientation panel</t>
  </si>
  <si>
    <t xml:space="preserve">Modal continuation; mode-dependent (prepare only, orient always).</t>
  </si>
  <si>
    <t xml:space="preserve">supportsInvalidatedBy({ supportSnapshot, modelIds }): { modelIds, supportCount }</t>
  </si>
  <si>
    <t xml:space="preserve">2 selected models, one with 3 trunks: rotate X -&gt; dialog lists 1 model / count 3; confirm -&gt; supports gone, rotate applied, single undo restores supports. Support mode rotate -&gt; no dialog.</t>
  </si>
  <si>
    <t xml:space="preserve">Partly — defaults to scene.activeModelId when no ids passed</t>
  </si>
  <si>
    <t xml:space="preserve">scene.deleteSupportsForModels</t>
  </si>
  <si>
    <t xml:space="preserve">apply-orientation</t>
  </si>
  <si>
    <t xml:space="preserve">handleApplyOrientation</t>
  </si>
  <si>
    <t xml:space="preserve">Auto Orientation apply: sets the model's rotation, then re-seats it so its lowest point sits at the lift distance (lift OR drop) so repeated orienting never drifts; one history entry for rotate+seat.</t>
  </si>
  <si>
    <t xml:space="preserve">page.tsx:2456-2479</t>
  </si>
  <si>
    <t xml:space="preserve">Reads: scene.activeModel, transformMgr.liftDistance
Writes: model transform</t>
  </si>
  <si>
    <t xml:space="preserve">Mostly pure — before/after + getModelLowestWorldZ; plumbing is the two scene calls.</t>
  </si>
  <si>
    <t xml:space="preserve">selectionLiftDrop.getModelLowestWorldZ</t>
  </si>
  <si>
    <t xml:space="preserve">None — no CLI orient command</t>
  </si>
  <si>
    <t xml:space="preserve">scene.commitModelTransformHistory(..., APPLY_ORIENTATION_SUGGESTION_LABEL)</t>
  </si>
  <si>
    <t xml:space="preserve">AutoOrientation panel (PreparePanelStack onApplyRotation)</t>
  </si>
  <si>
    <t xml:space="preserve">Med — — confirm auto-lift-off case should seat to liftDistance not 0</t>
  </si>
  <si>
    <t xml:space="preserve">BUG-ish: if modelId !== activeModel.id it applies activeModel's position/scale to modelId and skips the seat. Always seats to liftDistance even when auto-lift is off.</t>
  </si>
  <si>
    <t xml:space="preserve">orientModel({ model:{id,geometry,transform}, rotation, seatZ }): {id, before, after}</t>
  </si>
  <si>
    <t xml:space="preserve">Model lowest Z = 7 after rotation, lift 5 -&gt; z shifts by -2; orient twice -&gt; same z; undo once restores both.</t>
  </si>
  <si>
    <t xml:space="preserve">Yes — reads scene.activeModel for before/geometry; modelId param only gates the seat</t>
  </si>
  <si>
    <t xml:space="preserve">scene.updateModelTransform, scene.commitModelTransformHistory</t>
  </si>
  <si>
    <t xml:space="preserve">pending-transform-history</t>
  </si>
  <si>
    <t xml:space="preserve">invalidatePendingTransformHistory / commitPendingTransformHistory / scheduleCommitPendingTransformHistory / ensurePendingTransformHistoryForActiveModel</t>
  </si>
  <si>
    <t xml:space="preserve">Pending single-model transform history: picks 'after' from explicit after, else live gizmo, else transform hook, else stored; folds plate spawn and support before/after into one entry; nonce-guarded delayed commit by N animation frames.</t>
  </si>
  <si>
    <t xml:space="preserve">page.tsx:5774-5939, page.tsx:9332-9366</t>
  </si>
  <si>
    <t xml:space="preserve">Reads: pendingTransformHistoryRef, transformMgr, scene.models
Writes: history, debug ref</t>
  </si>
  <si>
    <t xml:space="preserve">Mixed — choosing 'after' is pure; nonce/RAF scheduling is React.</t>
  </si>
  <si>
    <t xml:space="preserve">modelTransformLabel</t>
  </si>
  <si>
    <t xml:space="preserve">scene.commitModelTransformHistory(modelId, before, after, label, {includeSupportState, supportBefore, plateSpawn})</t>
  </si>
  <si>
    <t xml:space="preserve">handleTransformEnd, handleRotationComplete, persistence effect, place-on-face</t>
  </si>
  <si>
    <t xml:space="preserve">RAF timing so support store settles before 'after' snapshot.</t>
  </si>
  <si>
    <t xml:space="preserve">chooseTransformAfter({ explicit, live, hook, stored, isActive }): ModelTransform</t>
  </si>
  <si>
    <t xml:space="preserve">Move then rotate quickly: two entries, labels Move/Rotate; drag that ends equal -&gt; no entry.</t>
  </si>
  <si>
    <t xml:space="preserve">Yes — pending entry's model, falls back to active model's hook values</t>
  </si>
  <si>
    <t xml:space="preserve">scene.commitModelTransformHistory</t>
  </si>
  <si>
    <t xml:space="preserve">history-origin-restore</t>
  </si>
  <si>
    <t xml:space="preserve">historyOriginRef / setHistoryOriginProvider / subscribeHistoryOperations effect / restoreHistoryOriginRef</t>
  </si>
  <si>
    <t xml:space="preserve">Every history entry is stamped with the app mode and tool it was made in; undo/redo switches back to that mode/tool, invalidates pending transform history, resets gizmo, resyncs the transform hook and shows an undo/redo toast with the entry label.</t>
  </si>
  <si>
    <t xml:space="preserve">page.tsx:5948-5993, page.tsx:7915-7932</t>
  </si>
  <si>
    <t xml:space="preserve">Reads: scene.mode, transformMgr.transformMode
Writes: mode, tool, toasts</t>
  </si>
  <si>
    <t xml:space="preserve">history store (setHistoryOriginProvider, subscribeHistoryOperations)</t>
  </si>
  <si>
    <t xml:space="preserve">Stamps origin onto every pushHistory</t>
  </si>
  <si>
    <t xml:space="preserve">Origin is UI state stored in scene history; a headless op would stamp none.</t>
  </si>
  <si>
    <t xml:space="preserve">Cut in Cut tool, switch to Transform, undo -&gt; Cut tool active again.</t>
  </si>
  <si>
    <t xml:space="preserve">history store provider/subscriber registered once</t>
  </si>
  <si>
    <t xml:space="preserve">history-transform-resync</t>
  </si>
  <si>
    <t xml:space="preserve">useEffect 6031-6087</t>
  </si>
  <si>
    <t xml:space="preserve">After undo/redo, copies the active model's stored transform back into the transform hook immediately, after 1 and 2 frames and after 48ms.</t>
  </si>
  <si>
    <t xml:space="preserve">page.tsx:6031-6087</t>
  </si>
  <si>
    <t xml:space="preserve">Reads: scene.activeModel
Writes: transformMgr.transformHook, displayActiveModelId</t>
  </si>
  <si>
    <t xml:space="preserve">Mostly React — timing.</t>
  </si>
  <si>
    <t xml:space="preserve">Timing.</t>
  </si>
  <si>
    <t xml:space="preserve">Undo a move -&gt; panel shows old position.</t>
  </si>
  <si>
    <t xml:space="preserve">mirror-finalize-on-tool-change</t>
  </si>
  <si>
    <t xml:space="preserve">setTransformModeWithMirrorFinalize</t>
  </si>
  <si>
    <t xml:space="preserve">Leaving the Mirror tool bakes the pending mirror (flushPendingBake) and suppresses 10 persistence cycles so stale reflected transforms are not re-applied.</t>
  </si>
  <si>
    <t xml:space="preserve">page.tsx:7903-7909</t>
  </si>
  <si>
    <t xml:space="preserve">Reads: transformMgr.transformMode
Writes: tool mode</t>
  </si>
  <si>
    <t xml:space="preserve">useMirrorManager.flushPendingBake (via ref)</t>
  </si>
  <si>
    <t xml:space="preserve">None — no CLI mirror</t>
  </si>
  <si>
    <t xml:space="preserve">via mirror manager</t>
  </si>
  <si>
    <t xml:space="preserve">hotkeys, rail, history origin restore</t>
  </si>
  <si>
    <t xml:space="preserve">Magic number 10.</t>
  </si>
  <si>
    <t xml:space="preserve">Mirror X then switch tool -&gt; geometry baked, scale positive, one history entry.</t>
  </si>
  <si>
    <t xml:space="preserve">finalizeMirrorSessionRef set at 10403</t>
  </si>
  <si>
    <t xml:space="preserve">Yes — mirror session</t>
  </si>
  <si>
    <t xml:space="preserve">transform-end</t>
  </si>
  <si>
    <t xml:space="preserve">handleTransformEnd / applyPostRotateLift</t>
  </si>
  <si>
    <t xml:space="preserve">Gizmo/drag release: optionally spawns a new plate for a drop on the ghost bed (folded into the same undo); flushes the final transform into the store with landedPlateId; reverts the hook if a locked plate refused; on rotate clears island scan and auto-snaps (lift); labels and commits history (rotate now, move/scale next frame).</t>
  </si>
  <si>
    <t xml:space="preserve">page.tsx:8474-8760</t>
  </si>
  <si>
    <t xml:space="preserve">Reads: transformMgr, pendingTransformHistoryRef, scene.plates/activePlateId, displayActiveModelId
Writes: scene transform, plates, history</t>
  </si>
  <si>
    <t xml:space="preserve">Mixed — 'which transform wins' and 'drop on ghost spawns a plate' are rules; rest is sync plumbing.</t>
  </si>
  <si>
    <t xml:space="preserve">modelTransformLabel, transformMgr.performAutoSnap</t>
  </si>
  <si>
    <t xml:space="preserve">None — no CLI move-onto-new-plate</t>
  </si>
  <si>
    <t xml:space="preserve">pending entry + plateSpawn {platesBefore, activePlateIdBefore} -&gt; one entry</t>
  </si>
  <si>
    <t xml:space="preserve">SceneCanvas onTransformEnd, handlePlaceOnFace</t>
  </si>
  <si>
    <t xml:space="preserve">Not a useCallback; deeply ref-coupled. Handoff says keep in Home.</t>
  </si>
  <si>
    <t xml:space="preserve">dropModel({ model, transform, frames, nextFrame }): { transform, spawnPlate:boolean, landedPlateId }</t>
  </si>
  <si>
    <t xml:space="preserve">Drag model onto ghost plate -&gt; plates+1, model plateId=new, single undo removes both; rotate -&gt; lowest Z = lift distance.</t>
  </si>
  <si>
    <t xml:space="preserve">scene.addPlate({pushHistory:false}), scene.updateModelTransform(..., {landedPlateId})</t>
  </si>
  <si>
    <t xml:space="preserve">gizmo-commit</t>
  </si>
  <si>
    <t xml:space="preserve">handleGizmoTransformCommit / handleRotationComplete</t>
  </si>
  <si>
    <t xml:space="preserve">Single-model gizmo commit: rotate is held until transform end (so the lift is included); move/scale update the pending entry's before/after/label so history is committed after supports have moved.</t>
  </si>
  <si>
    <t xml:space="preserve">page.tsx:8762-8826, page.tsx:9385-9405</t>
  </si>
  <si>
    <t xml:space="preserve">Reads: pendingTransformHistoryRef, scene.models
Writes: pending entries</t>
  </si>
  <si>
    <t xml:space="preserve">Mostly React — staging data for later commit.</t>
  </si>
  <si>
    <t xml:space="preserve">modelTransformLabel, rotateModelLabel</t>
  </si>
  <si>
    <t xml:space="preserve">staged; committed in handleTransformEnd</t>
  </si>
  <si>
    <t xml:space="preserve">SceneCanvas onGizmoTransformCommit, TransformPanel rotation complete</t>
  </si>
  <si>
    <t xml:space="preserve">Ordering with transform end.</t>
  </si>
  <si>
    <t xml:space="preserve">Rotate via gizmo -&gt; one entry 'Rotate &lt;name&gt;' covering rotation and lift.</t>
  </si>
  <si>
    <t xml:space="preserve">No (payload modelId)</t>
  </si>
  <si>
    <t xml:space="preserve">gizmo-group-commit</t>
  </si>
  <si>
    <t xml:space="preserve">handleGizmoTransformGroupCommit / seatSelectionOnPlate</t>
  </si>
  <si>
    <t xml:space="preserve">Multi-selection gizmo commit: keep entries that changed (eps 1e-6); after a rotate, seat each non-manual-Z model at lift distance (auto-lift) or 0; write all transforms in one call; sync the hook to the active one.</t>
  </si>
  <si>
    <t xml:space="preserve">page.tsx:8833-8919</t>
  </si>
  <si>
    <t xml:space="preserve">Reads: scene.models (manualZMoveOverride), transformMgr.autoLift/liftDistance
Writes: scene transforms</t>
  </si>
  <si>
    <t xml:space="preserve">Mostly pure — filter + buildLiftDropUpdates; plumbing is hook sync.</t>
  </si>
  <si>
    <t xml:space="preserve">inside scene.updateModelTransforms (hook decides)</t>
  </si>
  <si>
    <t xml:space="preserve">SceneCanvas onGizmoTransformGroupCommit</t>
  </si>
  <si>
    <t xml:space="preserve">Med — — confirm updateModelTransforms pushes history here</t>
  </si>
  <si>
    <t xml:space="preserve">None big.</t>
  </si>
  <si>
    <t xml:space="preserve">seatModels({ entries, models:{id,geometry,manualZMoveOverride}[], targetZ }): updates</t>
  </si>
  <si>
    <t xml:space="preserve">Rotate 2 models, one with manual Z -&gt; only the other is reseated.</t>
  </si>
  <si>
    <t xml:space="preserve">No (entries passed) — seat target from transform settings</t>
  </si>
  <si>
    <t xml:space="preserve">scene.updateModelTransforms</t>
  </si>
  <si>
    <t xml:space="preserve">selection-panel-edits</t>
  </si>
  <si>
    <t xml:space="preserve">ensurePendingSelectionHistory / commitPendingSelectionPositionHistory / applySelectionPositionUpdates / getPendingSelectionStartEntries</t>
  </si>
  <si>
    <t xml:space="preserve">Panel edits on a selection: each keystroke applies without history from the transforms captured when the edit began (so typing 0.5 through 0 cannot zero a scale); one undo step per run, closed on blur or when the target set/kind changes; a refused write (locked plate) reverts the panel.</t>
  </si>
  <si>
    <t xml:space="preserve">page.tsx:8921-9027</t>
  </si>
  <si>
    <t xml:space="preserve">Reads: scene.models, pending ref
Writes: scene transforms, history</t>
  </si>
  <si>
    <t xml:space="preserve">Mixed — step semantics are rules; refs and hook sync are React.</t>
  </si>
  <si>
    <t xml:space="preserve">selectionEditLabel</t>
  </si>
  <si>
    <t xml:space="preserve">scene.commitModelTransformsHistory(beforeAll, selectionEditLabel(kind,count), {includeSupportState, supportBefore, supportAfter})</t>
  </si>
  <si>
    <t xml:space="preserve">selection transform handlers</t>
  </si>
  <si>
    <t xml:space="preserve">Captures before for ALL models, not just targets.</t>
  </si>
  <si>
    <t xml:space="preserve">n/a (history plumbing); edits themselves use pure helpers</t>
  </si>
  <si>
    <t xml:space="preserve">Type scale 0 then 0.5 -&gt; final 0.5x from start; blur -&gt; one undo entry.</t>
  </si>
  <si>
    <t xml:space="preserve">Yes — via getSelectionTargetIds</t>
  </si>
  <si>
    <t xml:space="preserve">scene.updateModelTransforms, scene.commitModelTransformsHistory</t>
  </si>
  <si>
    <t xml:space="preserve">selection-scale</t>
  </si>
  <si>
    <t xml:space="preserve">handleScaleSelectedModels / preserveSelectionBottoms</t>
  </si>
  <si>
    <t xml:space="preserve">Scales the selection by the factor from the active model, keeps each model's bottom where it was; rejects &lt;= 0; asks about supports.</t>
  </si>
  <si>
    <t xml:space="preserve">page.tsx:9029-9042, page.tsx:9106-9134</t>
  </si>
  <si>
    <t xml:space="preserve">Reads: scene.activeModel, selection
Writes: scene transforms</t>
  </si>
  <si>
    <t xml:space="preserve">selectionTransform.scaleSelectionFromActive, selectionLiftDrop.preserveModelBottom</t>
  </si>
  <si>
    <t xml:space="preserve">Partial — transform-model sets scale, not bottom-preserving</t>
  </si>
  <si>
    <t xml:space="preserve">selection step</t>
  </si>
  <si>
    <t xml:space="preserve">Geometry for bottom.</t>
  </si>
  <si>
    <t xml:space="preserve">scaleModels({ entries, referenceId, scale, models })</t>
  </si>
  <si>
    <t xml:space="preserve">Scale 2x model sitting at z=0 -&gt; still at z=0; scale 0 -&gt; no-op.</t>
  </si>
  <si>
    <t xml:space="preserve">Yes — active model is reference</t>
  </si>
  <si>
    <t xml:space="preserve">selection-move</t>
  </si>
  <si>
    <t xml:space="preserve">handlePositionSelectedModels / selectionPositionOrigin</t>
  </si>
  <si>
    <t xml:space="preserve">Sets the selection's position: the selection origin moves to (x,y,z), every target moves by the same delta.</t>
  </si>
  <si>
    <t xml:space="preserve">page.tsx:9044-9054, page.tsx:9161-9169</t>
  </si>
  <si>
    <t xml:space="preserve">Reads: scene.models, selection
Writes: scene transforms</t>
  </si>
  <si>
    <t xml:space="preserve">Mostly pure — buildSelectionPositionUpdates.</t>
  </si>
  <si>
    <t xml:space="preserve">selectionPosition.buildSelectionPositionUpdates, getSelectionPositionOrigin, resolveModelActionTargetIds</t>
  </si>
  <si>
    <t xml:space="preserve">Partial — transform-model sets one model's position absolutely</t>
  </si>
  <si>
    <t xml:space="preserve">selection step (see selection-panel-edits)</t>
  </si>
  <si>
    <t xml:space="preserve">PreparePanelStack transform panel</t>
  </si>
  <si>
    <t xml:space="preserve">THREE.Vector3 in helper.</t>
  </si>
  <si>
    <t xml:space="preserve">moveModels({ models, ids, origin }): updates</t>
  </si>
  <si>
    <t xml:space="preserve">2 models at x=0,10, set x=5 -&gt; 5,15.</t>
  </si>
  <si>
    <t xml:space="preserve">selection-rotate</t>
  </si>
  <si>
    <t xml:space="preserve">handleRotateSelectedModels</t>
  </si>
  <si>
    <t xml:space="preserve">Rotates the selection about the active model to the typed Euler (global), asking about supports when X or Y changes.</t>
  </si>
  <si>
    <t xml:space="preserve">page.tsx:9056-9081</t>
  </si>
  <si>
    <t xml:space="preserve">Reads: scene.activeModel, selection, selectionRotationMode
Writes: scene transforms</t>
  </si>
  <si>
    <t xml:space="preserve">Mostly pure — rotateSelectionFromActive.</t>
  </si>
  <si>
    <t xml:space="preserve">selectionTransform.rotateSelectionFromActive, eulerFromGlobalEuler</t>
  </si>
  <si>
    <t xml:space="preserve">Partial — transform-model sets rotation of one model, no pivot/supports</t>
  </si>
  <si>
    <t xml:space="preserve">Destructive prompt await.</t>
  </si>
  <si>
    <t xml:space="preserve">rotateModels({ entries, pivotModelId, rotation, mode })</t>
  </si>
  <si>
    <t xml:space="preserve">Two models, rotate Z 90 around active -&gt; other orbits; X change with supports -&gt; prompt.</t>
  </si>
  <si>
    <t xml:space="preserve">Yes — active model is pivot</t>
  </si>
  <si>
    <t xml:space="preserve">selection-transform-commit</t>
  </si>
  <si>
    <t xml:space="preserve">handleSelectionTransformCommit</t>
  </si>
  <si>
    <t xml:space="preserve">Closes the panel's open undo step; after a rotation, re-seats the selection first and clears island scan.</t>
  </si>
  <si>
    <t xml:space="preserve">page.tsx:9084-9104</t>
  </si>
  <si>
    <t xml:space="preserve">Reads: pending kind, selection
Writes: scene transforms, history</t>
  </si>
  <si>
    <t xml:space="preserve">seatSelectionOnPlate</t>
  </si>
  <si>
    <t xml:space="preserve">transform panel blur</t>
  </si>
  <si>
    <t xml:space="preserve">Type rotation, blur -&gt; seated + one entry.</t>
  </si>
  <si>
    <t xml:space="preserve">selection-reset</t>
  </si>
  <si>
    <t xml:space="preserve">handleResetSelectedModels</t>
  </si>
  <si>
    <t xml:space="preserve">Reset rotation or scale on the selection; rotation reset re-seats on the plate and clears island scan; scale reset preserves bottoms; asks about supports.</t>
  </si>
  <si>
    <t xml:space="preserve">page.tsx:9136-9159</t>
  </si>
  <si>
    <t xml:space="preserve">Reads: selection
Writes: scene transforms, islands</t>
  </si>
  <si>
    <t xml:space="preserve">resetSelectionTransforms, seatSelectionOnPlate, preserveSelectionBottoms</t>
  </si>
  <si>
    <t xml:space="preserve">applySelectionPositionUpdates with history</t>
  </si>
  <si>
    <t xml:space="preserve">resetModels({ entries, reset:'rotation'|'scale', models, seatZ })</t>
  </si>
  <si>
    <t xml:space="preserve">Rotated model reset -&gt; rotation 0 and lowest Z = lift distance.</t>
  </si>
  <si>
    <t xml:space="preserve">center-selection</t>
  </si>
  <si>
    <t xml:space="preserve">handleCenterSelectedModels</t>
  </si>
  <si>
    <t xml:space="preserve">Centres the selection on the build plate centre: (0,0) for centre origin, (w/2,d/2) for front-left. Uses plate-1 centre, not the active plate's.</t>
  </si>
  <si>
    <t xml:space="preserve">page.tsx:9171-9189</t>
  </si>
  <si>
    <t xml:space="preserve">Reads: selection, scene.view3dSettings.originMode/width/depth
Writes: scene transforms</t>
  </si>
  <si>
    <t xml:space="preserve">selectionPosition.buildCenterSelectionUpdates</t>
  </si>
  <si>
    <t xml:space="preserve">Partial — scene center-xy sets x=y=0 for one model, ignores origin mode and plate</t>
  </si>
  <si>
    <t xml:space="preserve">applySelectionPositionUpdates (history on)</t>
  </si>
  <si>
    <t xml:space="preserve">Med — — check plate-2 behaviour</t>
  </si>
  <si>
    <t xml:space="preserve">SUSPECT: ignores active plate offset, so 'center' on plate 2 sends the model to plate 1.</t>
  </si>
  <si>
    <t xml:space="preserve">centerModels({ models, ids, plateCenter:{x,y} })</t>
  </si>
  <si>
    <t xml:space="preserve">Model on plate 2, Center -&gt; lands at plate-1 centre (pin, then decide); CLI parity for plate 1.</t>
  </si>
  <si>
    <t xml:space="preserve">transform-start</t>
  </si>
  <si>
    <t xml:space="preserve">handleTransformStart</t>
  </si>
  <si>
    <t xml:space="preserve">Gizmo/select-drag start: refuse if any active/selected model is on a locked plate; ask destructive-support question for rotate X/Y and scale (whole selection if &gt;1); disable auto-lift on a Z move; open pending history with before + support snapshot.</t>
  </si>
  <si>
    <t xml:space="preserve">page.tsx:9259-9330</t>
  </si>
  <si>
    <t xml:space="preserve">Reads: scene.activeModel, selectedModelIds, models, plate lock
Writes: pending history, manual Z override</t>
  </si>
  <si>
    <t xml:space="preserve">Mixed — lock and destructive predicates are pure; refs/RAF are React.</t>
  </si>
  <si>
    <t xml:space="preserve">resolveModelActionTargetIds, modelTransformLabel</t>
  </si>
  <si>
    <t xml:space="preserve">None — CLI transform-model ignores plate lock</t>
  </si>
  <si>
    <t xml:space="preserve">opens pending entry</t>
  </si>
  <si>
    <t xml:space="preserve">SceneCanvas onTransformStart</t>
  </si>
  <si>
    <t xml:space="preserve">Returns false to veto the gesture.</t>
  </si>
  <si>
    <t xml:space="preserve">canTransform({ modelIds, models, plates }): {ok, reason}</t>
  </si>
  <si>
    <t xml:space="preserve">Selected model on locked plate -&gt; returns false and toast; Z-axis move -&gt; manualZMoveOverride true.</t>
  </si>
  <si>
    <t xml:space="preserve">Yes — active + selection</t>
  </si>
  <si>
    <t xml:space="preserve">scene.isModelPlateLocked (via isModelPlateLocked), scene.setModelManualZMoveOverride</t>
  </si>
  <si>
    <t xml:space="preserve">place-on-face</t>
  </si>
  <si>
    <t xml:space="preserve">handlePlaceOnFaceAnimationStart / handlePlaceOnFace / handlePlaceOnFaceBeforeApply</t>
  </si>
  <si>
    <t xml:space="preserve">Place-on-face: opens a rotate history entry, clears the manual-Z override, re-enables auto-snap, and on face select runs handleTransformEnd('rotate'); asks about supports first.</t>
  </si>
  <si>
    <t xml:space="preserve">page.tsx:9792-9804, page.tsx:10349-10356</t>
  </si>
  <si>
    <t xml:space="preserve">Reads: scene.activeModelId
Writes: manual Z override, transform hook</t>
  </si>
  <si>
    <t xml:space="preserve">requestDestructiveTransformSupportDeletionWithContinuation</t>
  </si>
  <si>
    <t xml:space="preserve">pending entry -&gt; commit in transform end</t>
  </si>
  <si>
    <t xml:space="preserve">PlaceOnFace tool in SceneOverlays</t>
  </si>
  <si>
    <t xml:space="preserve">Med — — face math not traced</t>
  </si>
  <si>
    <t xml:space="preserve">The face-to-down rotation is computed elsewhere (tool).</t>
  </si>
  <si>
    <t xml:space="preserve">Pick a face -&gt; that face normal points -Z, lowest Z = lift.</t>
  </si>
  <si>
    <t xml:space="preserve">import-placement-escape</t>
  </si>
  <si>
    <t xml:space="preserve">useEffect 1649-1664</t>
  </si>
  <si>
    <t xml:space="preserve">Escape on the scene-import placement prompt resolves it as 'load as is'.</t>
  </si>
  <si>
    <t xml:space="preserve">page.tsx:1649-1664</t>
  </si>
  <si>
    <t xml:space="preserve">Reads: scene.sceneImportPlacementPrompt
Writes: via hook</t>
  </si>
  <si>
    <t xml:space="preserve">scene.resolveSceneImportPlacementPrompt</t>
  </si>
  <si>
    <t xml:space="preserve">autosave-restore</t>
  </si>
  <si>
    <t xml:space="preserve">handleAutosaveRestore / handleAutosaveDiscard</t>
  </si>
  <si>
    <t xml:space="preserve">Restores the autosave by reading its bytes and importing them as a scene file with recent tracking, placement prompt and repair suppressed; suppresses autosave for 60s; reports a corrupt/missing file; always clears the autosave.</t>
  </si>
  <si>
    <t xml:space="preserve">page.tsx:4656-4724</t>
  </si>
  <si>
    <t xml:space="preserve">Reads: autosaveRecovery
Writes: scene (via importSceneFile), sceneSaveError, autosave store</t>
  </si>
  <si>
    <t xml:space="preserve">Mostly React — IO, timers and modal state; the rule is the import flags.</t>
  </si>
  <si>
    <t xml:space="preserve">readAutosaveRecoveryBytes, suppressSceneAutosave, scene.importSceneFile</t>
  </si>
  <si>
    <t xml:space="preserve">Partial — CLI 'scene load' reads a VOXL; no recovery</t>
  </si>
  <si>
    <t xml:space="preserve">None (import path decides)</t>
  </si>
  <si>
    <t xml:space="preserve">SceneAutosaveRecoveryModal</t>
  </si>
  <si>
    <t xml:space="preserve">Tauri IO and File objects.</t>
  </si>
  <si>
    <t xml:space="preserve">Empty bytes -&gt; 'Restore Failed', autosave cleared.</t>
  </si>
  <si>
    <t xml:space="preserve">scene.importSceneFile</t>
  </si>
  <si>
    <t xml:space="preserve">organic-cut-commit</t>
  </si>
  <si>
    <t xml:space="preserve">useOrganicCutSession({ commitParts })</t>
  </si>
  <si>
    <t xml:space="preserve">Cut tool commit: replaces the active model with N parts in ONE atomic split (separate replace+add raced and lost a piece).</t>
  </si>
  <si>
    <t xml:space="preserve">page.tsx:10365-10382</t>
  </si>
  <si>
    <t xml:space="preserve">Reads: scene.activeModel
Writes: models</t>
  </si>
  <si>
    <t xml:space="preserve">Mostly React — wiring.</t>
  </si>
  <si>
    <t xml:space="preserve">useOrganicCutSession, modelCut (in hook)</t>
  </si>
  <si>
    <t xml:space="preserve">scene.splitModelIntoParts(id, parts, ORGANIC_CUT_LABEL)</t>
  </si>
  <si>
    <t xml:space="preserve">Cut tool</t>
  </si>
  <si>
    <t xml:space="preserve">THREE.BufferGeometry parts.</t>
  </si>
  <si>
    <t xml:space="preserve">n/a (call splitModelIntoParts with explicit id)</t>
  </si>
  <si>
    <t xml:space="preserve">Cut into 3 parts -&gt; 3 models, one undo restores original.</t>
  </si>
  <si>
    <t xml:space="preserve">scene.splitModelIntoParts</t>
  </si>
  <si>
    <t xml:space="preserve">sc-select-model-pointer</t>
  </si>
  <si>
    <t xml:space="preserve">selectModelFromPointerHit / handleScenePointerMissed</t>
  </si>
  <si>
    <t xml:space="preserve">Prepare-mode click selects the model (and fires window 'model-clicked'); click on empty space deselects (fires 'model-deselected'); Support-mode miss clears support selection.</t>
  </si>
  <si>
    <t xml:space="preserve">SceneCanvas.tsx:1638-1649, SceneCanvas.tsx:4726-4751</t>
  </si>
  <si>
    <t xml:space="preserve">Reads: mode, guards
Writes: via onActiveModelChange</t>
  </si>
  <si>
    <t xml:space="preserve">page.tsx handleSceneModelSelection</t>
  </si>
  <si>
    <t xml:space="preserve">Window globals __modelClickedThisFrame/__gizmoDragEndedThisFrame.</t>
  </si>
  <si>
    <t xml:space="preserve">window events model-clicked/model-deselected consumed by page.tsx select-all effect</t>
  </si>
  <si>
    <t xml:space="preserve">sc-marquee</t>
  </si>
  <si>
    <t xml:space="preserve">resolveMarqueeSelectedIds / resolveMarqueeSelectedSupportIds</t>
  </si>
  <si>
    <t xml:space="preserve">Marquee: projects model meshes and supports to screen and returns ids inside the rectangle.</t>
  </si>
  <si>
    <t xml:space="preserve">SceneCanvas.tsx:3189-3301</t>
  </si>
  <si>
    <t xml:space="preserve">Reads: camera, meshes
Writes: None</t>
  </si>
  <si>
    <t xml:space="preserve">Mostly React — camera projection.</t>
  </si>
  <si>
    <t xml:space="preserve">projectModelMesh</t>
  </si>
  <si>
    <t xml:space="preserve">page.tsx handleSceneMarqueeSelection</t>
  </si>
  <si>
    <t xml:space="preserve">Camera-bound; not a scene rule.</t>
  </si>
  <si>
    <t xml:space="preserve">overhang-view-toggle</t>
  </si>
  <si>
    <t xml:space="preserve">toggleOverhangView</t>
  </si>
  <si>
    <t xml:space="preserve">Switches shader to overhang heatmap, remembering the previous shader to restore.</t>
  </si>
  <si>
    <t xml:space="preserve">page.tsx:10018-10028</t>
  </si>
  <si>
    <t xml:space="preserve">Reads: scene.shaderType
Writes: shaderType</t>
  </si>
  <si>
    <t xml:space="preserve">TopBar</t>
  </si>
  <si>
    <t xml:space="preserve">Viewer setting.</t>
  </si>
  <si>
    <t xml:space="preserve">scene.setShaderType</t>
  </si>
  <si>
    <t xml:space="preserve">blocker-reset-confirm</t>
  </si>
  <si>
    <t xml:space="preserve">handleConfirmBlockerReset / handleConfirmModifierReset</t>
  </si>
  <si>
    <t xml:space="preserve">Confirming a hollowing change that clears blockers: applies the deferred panel state, clears blocked voxels, and persists hollowing (enabled, not baked) with the new settings under 'Hollowing settings'. Modifier reset routes to reset hollowing / clear applied hollowing / reset hole punch.</t>
  </si>
  <si>
    <t xml:space="preserve">page.tsx:10053-10102</t>
  </si>
  <si>
    <t xml:space="preserve">Reads: pendingBlockerResetState, hollowingState, scene.activeModel
Writes: hollowing state, modifiers</t>
  </si>
  <si>
    <t xml:space="preserve">Mixed — the persisted modifier shape is a rule.</t>
  </si>
  <si>
    <t xml:space="preserve">persistActiveModelModifiers(..., {historyDescription: HOLLOWING_SETTINGS_LABEL})</t>
  </si>
  <si>
    <t xml:space="preserve">Modifier modals</t>
  </si>
  <si>
    <t xml:space="preserve">Dead code: blockedVoxelIndices is [] on both branches.</t>
  </si>
  <si>
    <t xml:space="preserve">hollowingModifierFromPanel({ previous, panel }): ModelHollowingModifier</t>
  </si>
  <si>
    <t xml:space="preserve">Change voxel size with blockers -&gt; blockers [] and modifier bakedIntoGeometry=false.</t>
  </si>
  <si>
    <t xml:space="preserve">hollow-preview-trigger</t>
  </si>
  <si>
    <t xml:space="preserve">useEffect 10272-10347 / handleToolRailHover</t>
  </si>
  <si>
    <t xml:space="preserve">In the hollowing tool, debounces (90ms) a hollow preview for the active model unless applied-and-clean, applying, or face selection pending; rail hover warms the preview cache.</t>
  </si>
  <si>
    <t xml:space="preserve">page.tsx:10105-10133, page.tsx:10272-10347</t>
  </si>
  <si>
    <t xml:space="preserve">Reads: scene.activeModel, hollowing state
Writes: hollowPreview</t>
  </si>
  <si>
    <t xml:space="preserve">Mostly React — worker + debounce.</t>
  </si>
  <si>
    <t xml:space="preserve">buildHollowPreviewRequest, runHollowPreview, primeHollowPreviewCache</t>
  </si>
  <si>
    <t xml:space="preserve">Workers.</t>
  </si>
  <si>
    <t xml:space="preserve">active-model-modifier-panel-sync</t>
  </si>
  <si>
    <t xml:space="preserve">useEffect 10143-10270</t>
  </si>
  <si>
    <t xml:space="preserve">When the active model changes, rebuilds the hole-punch and hollowing panel state from its persisted modifiers (keeps gizmo world frames for unchanged placements); resets to defaults with no active model.</t>
  </si>
  <si>
    <t xml:space="preserve">page.tsx:10143-10270</t>
  </si>
  <si>
    <t xml:space="preserve">Reads: scene.activeModel.meshModifiers
Writes: hole punch + hollowing panel state</t>
  </si>
  <si>
    <t xml:space="preserve">Mostly React — deserialisation lives in holePunchPersistence.</t>
  </si>
  <si>
    <t xml:space="preserve">fromPersistedHolePunchPlacements</t>
  </si>
  <si>
    <t xml:space="preserve">UI state.</t>
  </si>
  <si>
    <t xml:space="preserve">Select model with persisted shell_open_face -&gt; panel shows cavity.</t>
  </si>
  <si>
    <t xml:space="preserve">remesh-confirms</t>
  </si>
  <si>
    <t xml:space="preserve">TetrahedralRemeshConfirmModal.onConfirm / ShrinkWrapConfirmModal.onConfirm (JSX)</t>
  </si>
  <si>
    <t xml:space="preserve">Runs tet-surface or solid remesh in place on the confirmed model with progress/cancel token.</t>
  </si>
  <si>
    <t xml:space="preserve">page.tsx:11473-11494, page.tsx:11531-11552</t>
  </si>
  <si>
    <t xml:space="preserve">Reads: confirm model id
Writes: model geometry (via hook)</t>
  </si>
  <si>
    <t xml:space="preserve">meshShrinkwrap options</t>
  </si>
  <si>
    <t xml:space="preserve">modals</t>
  </si>
  <si>
    <t xml:space="preserve">Native worker.</t>
  </si>
  <si>
    <t xml:space="preserve">No (confirmed id)</t>
  </si>
  <si>
    <t xml:space="preserve">scene.tetSurfaceModelInPlace, scene.solidRemeshModelInPlace</t>
  </si>
  <si>
    <t xml:space="preserve">support-drag-sync-transaction</t>
  </si>
  <si>
    <t xml:space="preserve">beginSupportDragSyncTransaction / finalizeSupportDragSyncTransaction / sync effect</t>
  </si>
  <si>
    <t xml:space="preserve">After a transform commit, holds the support drag delta until the store shows the expected model transform keys and the support/kickstand store versions have advanced, with a 320ms/520ms fallback timeout. Prevents supports flashing back for a frame.</t>
  </si>
  <si>
    <t xml:space="preserve">page.tsx:1997-2119</t>
  </si>
  <si>
    <t xml:space="preserve">Reads: supportStoreVersionRef, kickstandStoreVersionRef, scene.models transforms, commitResult
Writes: holdSupportDragDeltaUntilSupportSync, pendingSupportDragSyncRef, timers</t>
  </si>
  <si>
    <t xml:space="preserve">Mostly React — a render-sync protocol; no scene rule. Handoff says leave in Home.</t>
  </si>
  <si>
    <t xml:space="preserve">createModelTransformKey (module fn 706)</t>
  </si>
  <si>
    <t xml:space="preserve">handleTransformEnd, handleGizmoTransformGroupCommit</t>
  </si>
  <si>
    <t xml:space="preserve">Pure UI timing; not a scene rule. Do not extract per handoff §2.</t>
  </si>
  <si>
    <t xml:space="preserve">Drag model with supports: no frame where supports sit at pre-drag position (visual test).</t>
  </si>
  <si>
    <t xml:space="preserve">support store version counters bumped by effects at 2071-2085</t>
  </si>
  <si>
    <t xml:space="preserve">No (expected ids passed)</t>
  </si>
  <si>
    <t xml:space="preserve">context-menu-disabled-actions</t>
  </si>
  <si>
    <t xml:space="preserve">editorContextMenuDisabledActions / editorContextMenuItems / supportsCanAddJoint / supportsCanToggleCurve</t>
  </si>
  <si>
    <t xml:space="preserve">Decides which editor menu actions are enabled: delete/mark need a target (selection else active), cut/copy/repair need an active model, link needs &gt;=2 selected, unlink needs a linked model in selection-or-active, paste needs clipboard, split-supports needs a repair report triangle count, merge needs exactly 2 selected. Repair submenu shows Undo/Report only after a manual repair.</t>
  </si>
  <si>
    <t xml:space="preserve">page.tsx:2547-2655</t>
  </si>
  <si>
    <t xml:space="preserve">Reads: scene.mode, activeModelId, selectedModelIds, models, canPasteModel, manuallyRepairedModelIds, support selection
Writes: memo values</t>
  </si>
  <si>
    <t xml:space="preserve">Mostly pure — boolean predicates over ids.</t>
  </si>
  <si>
    <t xml:space="preserve">modelActionTargets.resolveModelActionTargetIds, findShaftOwnerOfSegment</t>
  </si>
  <si>
    <t xml:space="preserve">EditorContextMenu</t>
  </si>
  <si>
    <t xml:space="preserve">Enablement and execution (handleEditorMenuAction) restate target rules separately.</t>
  </si>
  <si>
    <t xml:space="preserve">menuActionAvailability({ models, selectedModelIds, activeModelId, canPaste }): Record&lt;action, boolean&gt;</t>
  </si>
  <si>
    <t xml:space="preserve">No selection, active A -&gt; delete enabled (fallback), link disabled; 2 selected -&gt; merge enabled.</t>
  </si>
  <si>
    <t xml:space="preserve">Yes — selection and active model</t>
  </si>
  <si>
    <t xml:space="preserve">context-menu-open-rule</t>
  </si>
  <si>
    <t xml:space="preserve">handleEditorPointerUpCapture / handleModelListContextMenu</t>
  </si>
  <si>
    <t xml:space="preserve">Right-button release opens the editor menu only if the pointer did not move &gt;6px, no orbit just happened, and the scene has models or a pastable clipboard; the cut tool gets first refusal; in Support mode the hovered shaft segment becomes the target. Right-clicking a list row selects it first if not selected.</t>
  </si>
  <si>
    <t xml:space="preserve">page.tsx:5616-5622, page.tsx:6116-6146</t>
  </si>
  <si>
    <t xml:space="preserve">Reads: scene.mode, models.length, canPasteModel, supportShaftHoverDebug
Writes: menu position/target, selection</t>
  </si>
  <si>
    <t xml:space="preserve">Mostly React — pointer gestures.</t>
  </si>
  <si>
    <t xml:space="preserve">EditorLayout, ModelsPanel</t>
  </si>
  <si>
    <t xml:space="preserve">Pointer events.</t>
  </si>
  <si>
    <t xml:space="preserve">Right-click unselected row -&gt; it becomes sole selection.</t>
  </si>
  <si>
    <t xml:space="preserve">window 'picking-orbit-change' event suppresses menu</t>
  </si>
  <si>
    <t xml:space="preserve">Yes — list row click changes selection</t>
  </si>
  <si>
    <t xml:space="preserve">scene.selectModel</t>
  </si>
  <si>
    <t xml:space="preserve">repair-target</t>
  </si>
  <si>
    <t xml:space="preserve">handleRepairModel</t>
  </si>
  <si>
    <t xml:space="preserve">A row's repair button repairs the whole selection when that row is part of a multi-selection, else just that row.</t>
  </si>
  <si>
    <t xml:space="preserve">page.tsx:5625-5632</t>
  </si>
  <si>
    <t xml:space="preserve">Reads: scene.selectedModelIds
Writes: manualRepairModelIds</t>
  </si>
  <si>
    <t xml:space="preserve">Mostly pure — one target rule.</t>
  </si>
  <si>
    <t xml:space="preserve">rowActionTargets({ rowId, selectedModelIds }): ids</t>
  </si>
  <si>
    <t xml:space="preserve">Selected [A,B], click A repair -&gt; [A,B]; click C -&gt; [C].</t>
  </si>
  <si>
    <t xml:space="preserve">Partly — expands to selection</t>
  </si>
  <si>
    <t xml:space="preserve">selection-handlers</t>
  </si>
  <si>
    <t xml:space="preserve">handleModelSelection / handleModelRangeSelection / handleGroupSelection / handleSceneModelSelection / handleSceneMarqueeSelection</t>
  </si>
  <si>
    <t xml:space="preserve">Selection entry points: list click/toggle/add, shift-range (replace or add, sets active), group select, canvas click (null clears selection, but in the hollowing tool first clears hole-punch selection), marquee (dedupe; keep active if inside, else first).</t>
  </si>
  <si>
    <t xml:space="preserve">page.tsx:5638-5697, page.tsx:5723-5735</t>
  </si>
  <si>
    <t xml:space="preserve">Reads: scene.selectedModelIds, activeModelId, mode, transformMode, hole-punch selection
Writes: scene selection</t>
  </si>
  <si>
    <t xml:space="preserve">Mostly pure — small id-set rules over hook setters.</t>
  </si>
  <si>
    <t xml:space="preserve">None (selection not in history)</t>
  </si>
  <si>
    <t xml:space="preserve">ModelsPanel, SceneCanvas (onActiveModelChange, onMarqueeSelectionChange)</t>
  </si>
  <si>
    <t xml:space="preserve">Marquee active-id rule restated vs hook selectModel.</t>
  </si>
  <si>
    <t xml:space="preserve">resolveMarqueeSelection({ ids, activeModelId }): {selected, active}</t>
  </si>
  <si>
    <t xml:space="preserve">Marquee [B,C] with active C -&gt; active stays C; with active A -&gt; B.</t>
  </si>
  <si>
    <t xml:space="preserve">No — ids passed in (marquee keeps current active as preference)</t>
  </si>
  <si>
    <t xml:space="preserve">scene.selectModel, setSelectedModelIds, setActiveModelId, selectGroup, clearModelSelection</t>
  </si>
  <si>
    <t xml:space="preserve">editor-menu-action</t>
  </si>
  <si>
    <t xml:space="preserve">handleEditorMenuAction</t>
  </si>
  <si>
    <t xml:space="preserve">Executes editor/support context-menu actions: toggle support curve, add joint (projects click onto straight or bezier segment, splits shaft, remaps knots, one support-edit history entry), split/merge supports, delete, copy, cut, paste (auto-arrange + optimistic resin bump), undo repairs, show report, repair, mark as support/model geometry, link/unlink, scan for supports.</t>
  </si>
  <si>
    <t xml:space="preserve">page.tsx:6165-6411</t>
  </si>
  <si>
    <t xml:space="preserve">Reads: support store, editorContextMenuSupportTarget, scene.*, arrangeSpacingMm, resin cache refs
Writes: support store, scene via hook calls, resin estimate</t>
  </si>
  <si>
    <t xml:space="preserve">Mixed — add-joint geometry (projectSplitPoint, projectBezierSplitPoint) is pure math wrapped in THREE; rest is dispatch.</t>
  </si>
  <si>
    <t xml:space="preserve">resolveModelActionTargetIds, dispatchDeleteModelAction, dispatchCutModelAction, splitSupportShaft, resolveSegmentEndpoints, applyJointSplitKnotRemaps</t>
  </si>
  <si>
    <t xml:space="preserve">None — no CLI add-joint/link/mark/paste; 'support straighten-segment' partly mirrors toggle-curve</t>
  </si>
  <si>
    <t xml:space="preserve">add-joint: pushSupportEditHistory(createJointLabel); others: via hook functions</t>
  </si>
  <si>
    <t xml:space="preserve">EditorContextMenu onAction</t>
  </si>
  <si>
    <t xml:space="preserve">Target resolution differs per case (some use resolveModelActionTargetIds, mark/link use selected-else-active inline). Paste resin bump duplicated in Ctrl+V effect.</t>
  </si>
  <si>
    <t xml:space="preserve">addSupportJoint({ supports, segmentId, point }): { entity, knotRemaps }; menu dispatch stays UI</t>
  </si>
  <si>
    <t xml:space="preserve">Add joint on bezier segment at t~0.5 -&gt; knot attached at t remains at same world point (issue #204). Mark-as-support with 0 selected, active A -&gt; toggles A only.</t>
  </si>
  <si>
    <t xml:space="preserve">Yes — almost every case targets selection-else-active; add-joint targets the right-clicked segment</t>
  </si>
  <si>
    <t xml:space="preserve">scene.splitSupports, mergeSupports, deleteModels, copySelectedModels, copyModel, cutSelectedModels, pasteCopiedModelsAutoArrange, undoRepairsInPlace, openMeshRepairReportForModel, toggleSupportDesignation, linkModels, unlinkModels, scanModelForSupportsInPlace</t>
  </si>
  <si>
    <t xml:space="preserve">transform-persistence-effect</t>
  </si>
  <si>
    <t xml:space="preserve">useEffect (transform persistence) 6671-6798</t>
  </si>
  <si>
    <t xml:space="preserve">Writes the transform hook's live values into the active model when they differ (eps 1e-4), opening or extending a pending history entry with before/after and support snapshots; skipped during live gizmo drags, right after handleTransformEnd, in Mirror, and for N suppressed cycles. Repairs a non-finite stored transform from the hook.</t>
  </si>
  <si>
    <t xml:space="preserve">page.tsx:6671-6798</t>
  </si>
  <si>
    <t xml:space="preserve">Reads: transformMgr.transform/isTransforming/pendingTransformRef, scene.activeModel, displayActiveModelId, suppression refs
Writes: scene model transform, pendingTransformHistoryRef, supportRenderRefreshNonce</t>
  </si>
  <si>
    <t xml:space="preserve">Mostly React — a two-way sync between the transform hook and the scene, gated by refs.</t>
  </si>
  <si>
    <t xml:space="preserve">captureTransformSupportSnapshot</t>
  </si>
  <si>
    <t xml:space="preserve">pending entry, committed later by commitPendingTransformHistory</t>
  </si>
  <si>
    <t xml:space="preserve">internal (fires on every transform hook change)</t>
  </si>
  <si>
    <t xml:space="preserve">Med — — suppression counters interact with mirror/arrange; trace before touching</t>
  </si>
  <si>
    <t xml:space="preserve">The central hidden wiring for panel edits of the active model; many suppression flags.</t>
  </si>
  <si>
    <t xml:space="preserve">Type X=10 in transform panel -&gt; one history entry 'Move &lt;name&gt;' with supports moved; Mirror session -&gt; no entries until finalize.</t>
  </si>
  <si>
    <t xml:space="preserve">suppressTransformPersistenceCycles called by mirror/arrange/applySelectionPositionUpdates</t>
  </si>
  <si>
    <t xml:space="preserve">Yes — active model only</t>
  </si>
  <si>
    <t xml:space="preserve">scene.updateModelTransform</t>
  </si>
  <si>
    <t xml:space="preserve">mode-change-guard</t>
  </si>
  <si>
    <t xml:space="preserve">handleModeChange + mode effects (7130-7202, 8012-8016)</t>
  </si>
  <si>
    <t xml:space="preserve">Workspace switching rules: no models -&gt; forced to Prepare; Printing needs some plate sliced and a non-stale slice (else reslice modal); leaving Export collapses selection to the active model; deleting the last model in Printing clears sliced plates; stale slice while in Printing kicks back to Prepare (deferred while profile settings open).</t>
  </si>
  <si>
    <t xml:space="preserve">page.tsx:7340-7356, page.tsx:7130-7202, page.tsx:8012-8016</t>
  </si>
  <si>
    <t xml:space="preserve">Reads: scene.models.length, hasSlicedPlate, isActiveSliceStale, scene.mode
Writes: scene.mode, selection, slicedPlates</t>
  </si>
  <si>
    <t xml:space="preserve">Mostly React — mode state machine in effects.</t>
  </si>
  <si>
    <t xml:space="preserve">TopBar onModeChange</t>
  </si>
  <si>
    <t xml:space="preserve">Spread over 5 effects; ordering matters.</t>
  </si>
  <si>
    <t xml:space="preserve">nextWorkspace({ requested, modelCount, hasSlicedPlate, sliceStale }): mode|'reslice-prompt'</t>
  </si>
  <si>
    <t xml:space="preserve">0 models, request Support -&gt; Prepare; Printing with stale slice -&gt; reslice modal.</t>
  </si>
  <si>
    <t xml:space="preserve">PROFILE_SETTINGS_MODAL_OPEN_CHANGE_EVENT window event</t>
  </si>
  <si>
    <t xml:space="preserve">Yes — active model on export exit</t>
  </si>
  <si>
    <t xml:space="preserve">scene.setMode, scene.setSelectedModelIds</t>
  </si>
  <si>
    <t xml:space="preserve">workspace-tool-memory</t>
  </si>
  <si>
    <t xml:space="preserve">useEffects 7944-7981</t>
  </si>
  <si>
    <t xml:space="preserve">Each workspace remembers its last tool (Prepare rail tool; Support hollowing or panel mode) and restores it on return, unless an undo is restoring a tool.</t>
  </si>
  <si>
    <t xml:space="preserve">page.tsx:7944-7981</t>
  </si>
  <si>
    <t xml:space="preserve">Reads: scene.mode, transformMode, supportRailMode
Writes: tool mode</t>
  </si>
  <si>
    <t xml:space="preserve">UI.</t>
  </si>
  <si>
    <t xml:space="preserve">Prepare/Arrange -&gt; Support -&gt; Prepare restores Arrange.</t>
  </si>
  <si>
    <t xml:space="preserve">unapplied-modifiers</t>
  </si>
  <si>
    <t xml:space="preserve">getVisibleModelIdsWithUnappliedModifiers / getVisibleModelIdsWithUnappliedHoles / unappliedModifierPrompt</t>
  </si>
  <si>
    <t xml:space="preserve">Lists visible models with unapplied hole punches and/or hollowing (hidden models ignored). Prompt text depends on purpose (supports vs export) and which modifiers are pending.</t>
  </si>
  <si>
    <t xml:space="preserve">page.tsx:8025-8131</t>
  </si>
  <si>
    <t xml:space="preserve">Reads: scene.models, scene.getModelMeshModifiers
Writes: None</t>
  </si>
  <si>
    <t xml:space="preserve">getUnappliedModifiers</t>
  </si>
  <si>
    <t xml:space="preserve">None — CLI slice ignores unbaked modifiers</t>
  </si>
  <si>
    <t xml:space="preserve">export effect, supports gate</t>
  </si>
  <si>
    <t xml:space="preserve">Modifiers live in an external store (handoff note).</t>
  </si>
  <si>
    <t xml:space="preserve">unappliedModifierModels({ models:{id,visible}[], modifiersById }): {holeIds, hollowIds}</t>
  </si>
  <si>
    <t xml:space="preserve">Hidden model with unapplied holes -&gt; not listed.</t>
  </si>
  <si>
    <t xml:space="preserve">No (all visible)</t>
  </si>
  <si>
    <t xml:space="preserve">scene.getModelMeshModifiers</t>
  </si>
  <si>
    <t xml:space="preserve">apply-all-hole-punches</t>
  </si>
  <si>
    <t xml:space="preserve">handleApplyAllHolePunches / advance-queue effect / resolveUnappliedModifier / requestModifierDecisionBeforeSupports / handleGoToHollowTool</t>
  </si>
  <si>
    <t xml:space="preserve">Apply-to-All bakes holes model by model by making each one active and handing it to the hole-punch manager's auto-apply, advancing when the bake settles; resolves a waiting Generate Supports once drained. Go-to-tool makes the first pending model active and opens Support &gt; Hollowing.</t>
  </si>
  <si>
    <t xml:space="preserve">page.tsx:8049-8094, page.tsx:8135-8148, page.tsx:8197-8215</t>
  </si>
  <si>
    <t xml:space="preserve">Reads: queue ref, isApplyingHolePunch, pendingHolePunchAutoApplyModelId
Writes: active model, hole punch state</t>
  </si>
  <si>
    <t xml:space="preserve">Mostly React — a queue run through effects and the active model.</t>
  </si>
  <si>
    <t xml:space="preserve">useHolePunchManager auto-apply</t>
  </si>
  <si>
    <t xml:space="preserve">per-bake history inside hole-punch manager</t>
  </si>
  <si>
    <t xml:space="preserve">UnappliedHolePunch modal, AutoSupports onBeforeRun</t>
  </si>
  <si>
    <t xml:space="preserve">Classic implicit-target pattern: batch op implemented by mutating activeModelId.</t>
  </si>
  <si>
    <t xml:space="preserve">applyHolePunches({ modelId, ... }) per model in a loop with explicit ids</t>
  </si>
  <si>
    <t xml:space="preserve">3 models with holes -&gt; 3 bakes, active ends on last, supports run continues with proceed=true.</t>
  </si>
  <si>
    <t xml:space="preserve">Yes — drives work through scene.activeModelId</t>
  </si>
  <si>
    <t xml:space="preserve">scene.setActiveModelId, scene.setMode</t>
  </si>
  <si>
    <t xml:space="preserve">export-mode-select-all</t>
  </si>
  <si>
    <t xml:space="preserve">useEffect 8150-8189</t>
  </si>
  <si>
    <t xml:space="preserve">Entering Export: if visible models have unapplied hole punches, open the unapplied-holes prompt and make the first such model active; ensure an active model; select all visible models (for tinting).</t>
  </si>
  <si>
    <t xml:space="preserve">page.tsx:8150-8189</t>
  </si>
  <si>
    <t xml:space="preserve">Reads: scene.mode, models, getVisibleModelIdsWithUnappliedHoles, applyAllHolePunchProgress
Writes: scene selection, modal state</t>
  </si>
  <si>
    <t xml:space="preserve">Changing selection as a side effect of a mode means 'selection' is not a user intent in Export.</t>
  </si>
  <si>
    <t xml:space="preserve">Enter Export with 2 visible + 1 hidden -&gt; 2 selected.</t>
  </si>
  <si>
    <t xml:space="preserve">Yes — sets selection and active</t>
  </si>
  <si>
    <t xml:space="preserve">scene.setActiveModelId, setSelectedModelIds</t>
  </si>
  <si>
    <t xml:space="preserve">tool-entry-selection</t>
  </si>
  <si>
    <t xml:space="preserve">useEffects 8197-8237 (arrange single-model autoselect, mirror single-select)</t>
  </si>
  <si>
    <t xml:space="preserve">Entering Arrange with exactly one visible model selects it; Mirror forces selection to just the active model.</t>
  </si>
  <si>
    <t xml:space="preserve">page.tsx:8218-8237</t>
  </si>
  <si>
    <t xml:space="preserve">Reads: scene.mode, transformMode, models, selection
Writes: scene selection</t>
  </si>
  <si>
    <t xml:space="preserve">Effect-driven.</t>
  </si>
  <si>
    <t xml:space="preserve">Mirror with [A,B] active A -&gt; [A].</t>
  </si>
  <si>
    <t xml:space="preserve">support-mode-selection-invariants</t>
  </si>
  <si>
    <t xml:space="preserve">useEffects 8308-8382</t>
  </si>
  <si>
    <t xml:space="preserve">In Support mode: ensure an active model (first visible), collapse multi-selection to one (first visible selected), and keep selection == [active].</t>
  </si>
  <si>
    <t xml:space="preserve">page.tsx:8308-8382</t>
  </si>
  <si>
    <t xml:space="preserve">Reads: scene.mode, models, activeModelId, selectedModelIds
Writes: scene selection</t>
  </si>
  <si>
    <t xml:space="preserve">Mostly React — three effects enforcing an invariant.</t>
  </si>
  <si>
    <t xml:space="preserve">Effect ordering; may fight the hook's own selection.</t>
  </si>
  <si>
    <t xml:space="preserve">supportModeSelection({ models, activeModelId, selectedModelIds }): {active, selected}</t>
  </si>
  <si>
    <t xml:space="preserve">Enter Support with [A,B] selected, A hidden -&gt; selection [B], active B.</t>
  </si>
  <si>
    <t xml:space="preserve">Yes — picks for the user</t>
  </si>
  <si>
    <t xml:space="preserve">scene.setActiveModelId, setSelectedModelIds, clearModelSelection</t>
  </si>
  <si>
    <t xml:space="preserve">plate-locked-notice</t>
  </si>
  <si>
    <t xml:space="preserve">notifyPlateLockedRef.current / plateLockedNoticeLabel / plateLockedNoticeMounted</t>
  </si>
  <si>
    <t xml:space="preserve">Shows a 2.6s toast when the manager refuses an edit because a plate is locked; label names the refusing plate (its name or number). Wired into useSceneCollectionManager via onBlockedByLock.</t>
  </si>
  <si>
    <t xml:space="preserve">page.tsx:846-863</t>
  </si>
  <si>
    <t xml:space="preserve">Reads: scene.plates, scene.activePlateId, plateLockedNoticePlateId
Writes: plateLockedNoticeVisible/PlateId state, timer ref</t>
  </si>
  <si>
    <t xml:space="preserve">Mostly React — toast timer; the only rule is 'plate name else plate number'.</t>
  </si>
  <si>
    <t xml:space="preserve">plateNumberPlaceholder</t>
  </si>
  <si>
    <t xml:space="preserve">None — CLI has no lock concept surfaced</t>
  </si>
  <si>
    <t xml:space="preserve">useSceneCollectionManager (onBlockedByLock callback), handleTransformStart, SceneCanvas onBlockedByPlateLock</t>
  </si>
  <si>
    <t xml:space="preserve">UI timing only. The lock rule itself lives in the hook (isModelPlateLocked).</t>
  </si>
  <si>
    <t xml:space="preserve">n/a (UI plumbing); plateDisplayName({plates, plateId}) could be shared</t>
  </si>
  <si>
    <t xml:space="preserve">Locked plate 2 named '' -&gt; label 'Plate 2'.</t>
  </si>
  <si>
    <t xml:space="preserve">onBlockedByLock callback from manager into page via ref</t>
  </si>
  <si>
    <t xml:space="preserve">Partly — falls back to scene.activePlateId when the manager does not name a plate</t>
  </si>
  <si>
    <t xml:space="preserve">useSceneCollectionManager({onBlockedByLock})</t>
  </si>
  <si>
    <t xml:space="preserve">manifold-warning-effect</t>
  </si>
  <si>
    <t xml:space="preserve">useEffect (manifold warning)</t>
  </si>
  <si>
    <t xml:space="preserve">After import, if any model's native repair report says model_is_manifold === false and it has not been warned about, marks all flagged models as warned and opens one warning modal targeting the first flagged model.</t>
  </si>
  <si>
    <t xml:space="preserve">page.tsx:864-873</t>
  </si>
  <si>
    <t xml:space="preserve">Reads: scene.models[].geometry.meshDefects.nativeRepairReport
Writes: warnedManifoldModelIdsRef, showManifoldWarning, manifoldWarningModelId</t>
  </si>
  <si>
    <t xml:space="preserve">Mostly React — the predicate 'model_is_manifold === false' is the only rule.</t>
  </si>
  <si>
    <t xml:space="preserve">internal (effect)</t>
  </si>
  <si>
    <t xml:space="preserve">Ref-based dedupe across renders.</t>
  </si>
  <si>
    <t xml:space="preserve">findNonManifoldModels({ models }): string[]</t>
  </si>
  <si>
    <t xml:space="preserve">Import 3 models, 2 non-manifold -&gt; one modal, target = first flagged; re-render -&gt; no second modal.</t>
  </si>
  <si>
    <t xml:space="preserve">No (scans all models)</t>
  </si>
  <si>
    <t xml:space="preserve">camera-pauses-geometry-work</t>
  </si>
  <si>
    <t xml:space="preserve">handleCameraChange / handleCameraEnd</t>
  </si>
  <si>
    <t xml:space="preserve">Pauses background geometry work while the camera moves, resumes 140ms after it stops.</t>
  </si>
  <si>
    <t xml:space="preserve">page.tsx:9407-9424</t>
  </si>
  <si>
    <t xml:space="preserve">Reads: none
Writes: background work flag</t>
  </si>
  <si>
    <t xml:space="preserve">scene.setBackgroundGeometryWorkPaused</t>
  </si>
  <si>
    <t xml:space="preserve">persist-active-model-modifiers</t>
  </si>
  <si>
    <t xml:space="preserve">persistActiveModelModifiers</t>
  </si>
  <si>
    <t xml:space="preserve">Writes mesh modifiers for the active model (with history options).</t>
  </si>
  <si>
    <t xml:space="preserve">page.tsx:9806-9813</t>
  </si>
  <si>
    <t xml:space="preserve">Reads: scene.activeModel
Writes: model mesh modifiers</t>
  </si>
  <si>
    <t xml:space="preserve">scene.setModelMeshModifiers(id, next, options)</t>
  </si>
  <si>
    <t xml:space="preserve">useHolePunchManager, useHollowingManager, handleConfirmBlockerReset</t>
  </si>
  <si>
    <t xml:space="preserve">Implicit active target handed to two managers.</t>
  </si>
  <si>
    <t xml:space="preserve">n/a (pass modelId explicitly)</t>
  </si>
  <si>
    <t xml:space="preserve">scene.setModelMeshModifiers</t>
  </si>
  <si>
    <t xml:space="preserve">Area</t>
  </si>
  <si>
    <t xml:space="preserve">GUI operation</t>
  </si>
  <si>
    <t xml:space="preserve">App entry point</t>
  </si>
  <si>
    <t xml:space="preserve">CLI command</t>
  </si>
  <si>
    <t xml:space="preserve">Status</t>
  </si>
  <si>
    <t xml:space="preserve">Gap</t>
  </si>
  <si>
    <t xml:space="preserve">Scene</t>
  </si>
  <si>
    <t xml:space="preserve">New scene</t>
  </si>
  <si>
    <t xml:space="preserve">page.tsx handleRequestNewScene → deleteModels</t>
  </si>
  <si>
    <t xml:space="preserve">scene create</t>
  </si>
  <si>
    <t xml:space="preserve">CLI makes an empty doc; app keeps extra plates (B12) and resets UI state.</t>
  </si>
  <si>
    <t xml:space="preserve">Open scene (VOXL)</t>
  </si>
  <si>
    <t xml:space="preserve">importSceneFile → handleImportVoxlFile</t>
  </si>
  <si>
    <t xml:space="preserve">scene load</t>
  </si>
  <si>
    <t xml:space="preserve">CLI parses and prints only; app normalises names, applies prefs, remaps ids, re-lays plates, prompts. load counts 6 support collections.</t>
  </si>
  <si>
    <t xml:space="preserve">Save / autosave</t>
  </si>
  <si>
    <t xml:space="preserve">ExportManager VOXL path; useSceneAutosave; page.tsx Ctrl+S</t>
  </si>
  <si>
    <t xml:space="preserve">(every saving command) toBuildInput</t>
  </si>
  <si>
    <t xml:space="preserve">Plates/printer now kept. Drops ORIG chunks and sha map (B2); Ctrl+S drops hidden models (B3).</t>
  </si>
  <si>
    <t xml:space="preserve">Import mesh (STL/OBJ/3MF)</t>
  </si>
  <si>
    <t xml:space="preserve">scene add-model</t>
  </si>
  <si>
    <t xml:space="preserve">CLI: origin placement, no plate, no free spot, no seat Z, fixed colour, polygonCount 0, no repair.</t>
  </si>
  <si>
    <t xml:space="preserve">Import plugin scene / support JSON</t>
  </si>
  <si>
    <t xml:space="preserve">handleImportPluginSceneFile; importSupportDataFile</t>
  </si>
  <si>
    <t xml:space="preserve">—</t>
  </si>
  <si>
    <t xml:space="preserve">Missing</t>
  </si>
  <si>
    <t xml:space="preserve">List models</t>
  </si>
  <si>
    <t xml:space="preserve">Models panel</t>
  </si>
  <si>
    <t xml:space="preserve">scene list-models</t>
  </si>
  <si>
    <t xml:space="preserve">Read-only.</t>
  </si>
  <si>
    <t xml:space="preserve">Models</t>
  </si>
  <si>
    <t xml:space="preserve">Delete model(s)</t>
  </si>
  <si>
    <t xml:space="preserve">deleteModels / deleteModelsAndExtraPlates</t>
  </si>
  <si>
    <t xml:space="preserve">scene remove-model</t>
  </si>
  <si>
    <t xml:space="preserve">Orphans 5 support types (B7); no link dissolve; no empty-scene plate collapse.</t>
  </si>
  <si>
    <t xml:space="preserve">Rename model</t>
  </si>
  <si>
    <t xml:space="preserve">Show / hide model</t>
  </si>
  <si>
    <t xml:space="preserve">Model colour</t>
  </si>
  <si>
    <t xml:space="preserve">Mark as support (designation)</t>
  </si>
  <si>
    <t xml:space="preserve">Affects slicing.</t>
  </si>
  <si>
    <t xml:space="preserve">Link / unlink models</t>
  </si>
  <si>
    <t xml:space="preserve">linkModels / unlinkModels</t>
  </si>
  <si>
    <t xml:space="preserve">Move / rotate / scale</t>
  </si>
  <si>
    <t xml:space="preserve">updateModelTransform(s) + commit*History</t>
  </si>
  <si>
    <t xml:space="preserve">scene transform-model</t>
  </si>
  <si>
    <t xml:space="preserve">CLI overwrites the vector: no supports, no link peers, no plateId restamp, no lock.</t>
  </si>
  <si>
    <t xml:space="preserve">Center on plate</t>
  </si>
  <si>
    <t xml:space="preserve">page.tsx handleCenterSelectedModels</t>
  </si>
  <si>
    <t xml:space="preserve">scene center-xy</t>
  </si>
  <si>
    <t xml:space="preserve">CLI sets 0,0; app uses plate centre/origin mode and keeps multi-select layout.</t>
  </si>
  <si>
    <t xml:space="preserve">Drop / lift to plate</t>
  </si>
  <si>
    <t xml:space="preserve">page.tsx placeSelectedModelsAtWorldZ → selectionLiftDrop</t>
  </si>
  <si>
    <t xml:space="preserve">scene place-on-platform</t>
  </si>
  <si>
    <t xml:space="preserve">CLI uses raw mesh min Z, ignores rotation/scale/lift (B8).</t>
  </si>
  <si>
    <t xml:space="preserve">Auto orient / place on face / mirror</t>
  </si>
  <si>
    <t xml:space="preserve">page.tsx handlers</t>
  </si>
  <si>
    <t xml:space="preserve">Group / ungroup</t>
  </si>
  <si>
    <t xml:space="preserve">groupModels / ungroupModels / ungroupGroup</t>
  </si>
  <si>
    <t xml:space="preserve">scene group / ungroup</t>
  </si>
  <si>
    <t xml:space="preserve">Different storage; neither sees the other's groups (B6).</t>
  </si>
  <si>
    <t xml:space="preserve">List groups</t>
  </si>
  <si>
    <t xml:space="preserve">Models panel folders</t>
  </si>
  <si>
    <t xml:space="preserve">scene list-groups</t>
  </si>
  <si>
    <t xml:space="preserve">Always 0 on an app-saved scene.</t>
  </si>
  <si>
    <t xml:space="preserve">Rename group</t>
  </si>
  <si>
    <t xml:space="preserve">Duplicate/arrange</t>
  </si>
  <si>
    <t xml:space="preserve">Duplicate with layout</t>
  </si>
  <si>
    <t xml:space="preserve">duplicate preview (page.tsx 9500-9790) → duplicateModelWithTransforms</t>
  </si>
  <si>
    <t xml:space="preserve">scene duplicate</t>
  </si>
  <si>
    <t xml:space="preserve">CLI: fixed offset, different names, no group, no supports; copies may be meshless (B1).</t>
  </si>
  <si>
    <t xml:space="preserve">Arrange</t>
  </si>
  <si>
    <t xml:space="preserve">computeHighPrecisionArrangeUpdates via useArrangeManager</t>
  </si>
  <si>
    <t xml:space="preserve">scene arrange</t>
  </si>
  <si>
    <t xml:space="preserve">Same algorithm, but CLI packs all onto plate 1: no offsets, locks, new beds, support footprints.</t>
  </si>
  <si>
    <t xml:space="preserve">Clipboard</t>
  </si>
  <si>
    <t xml:space="preserve">Copy / cut / paste</t>
  </si>
  <si>
    <t xml:space="preserve">copySelectedModels / cutSelectedModels / pasteCopiedModelsAutoArrange</t>
  </si>
  <si>
    <t xml:space="preserve">Clipboard is UI; paste placement is a rule (placement group).</t>
  </si>
  <si>
    <t xml:space="preserve">Plates</t>
  </si>
  <si>
    <t xml:space="preserve">Add / remove / rename plate</t>
  </si>
  <si>
    <t xml:space="preserve">addPlate(s) / removePlate / renamePlate</t>
  </si>
  <si>
    <t xml:space="preserve">CLI can keep plates through a save but not change them.</t>
  </si>
  <si>
    <t xml:space="preserve">Move models to plate</t>
  </si>
  <si>
    <t xml:space="preserve">moveModelsToPlate (test-only)</t>
  </si>
  <si>
    <t xml:space="preserve">Set active plate / lock plate</t>
  </si>
  <si>
    <t xml:space="preserve">activatePlate / setPlateLocked</t>
  </si>
  <si>
    <t xml:space="preserve">Session state; see D3.</t>
  </si>
  <si>
    <t xml:space="preserve">Slicing</t>
  </si>
  <si>
    <t xml:space="preserve">Slice one plate</t>
  </si>
  <si>
    <t xml:space="preserve">SlicingPanel / ExportPanelStack via plateSliceScope</t>
  </si>
  <si>
    <t xml:space="preserve">scene slice --plate</t>
  </si>
  <si>
    <t xml:space="preserve">ADR 'done': assembleSliceJob + plateLayout + cliJobParity + check:scene-slice. Gaps: origin mode (B20), disjoint-model drop (D11).</t>
  </si>
  <si>
    <t xml:space="preserve">Export</t>
  </si>
  <si>
    <t xml:space="preserve">Export STL</t>
  </si>
  <si>
    <t xml:space="preserve">ExportManager STL path</t>
  </si>
  <si>
    <t xml:space="preserve">scene export-stl</t>
  </si>
  <si>
    <t xml:space="preserve">CLI reads STLs from --mesh-dir, merges all plates, no supports/raft/plate scope.</t>
  </si>
  <si>
    <t xml:space="preserve">Supports</t>
  </si>
  <si>
    <t xml:space="preserve">Add support entities</t>
  </si>
  <si>
    <t xml:space="preserve">placement hooks (trunk, branch, leaf, brace, knot, twig, stick, kickstand)</t>
  </si>
  <si>
    <t xml:space="preserve">support add-*</t>
  </si>
  <si>
    <t xml:space="preserve">Restated field by field (ADR cites add-trunk); leaf/stick cones lack id/profile (unconfirmed).</t>
  </si>
  <si>
    <t xml:space="preserve">Edit / remove / straighten</t>
  </si>
  <si>
    <t xml:space="preserve">support inspector, delete registry, toggleSegmentCurve</t>
  </si>
  <si>
    <t xml:space="preserve">support update / remove / straighten-segment</t>
  </si>
  <si>
    <t xml:space="preserve">remove doesn't cascade from a knot.</t>
  </si>
  <si>
    <t xml:space="preserve">Split / merge supports from model</t>
  </si>
  <si>
    <t xml:space="preserve">splitSupports / mergeSupports</t>
  </si>
  <si>
    <t xml:space="preserve">VOXL keeps classification, so feasible.</t>
  </si>
  <si>
    <t xml:space="preserve">Repair</t>
  </si>
  <si>
    <t xml:space="preserve">Repair / remesh / undo repairs</t>
  </si>
  <si>
    <t xml:space="preserve">repairModelsInPlace etc.</t>
  </si>
  <si>
    <t xml:space="preserve">— (Rust CLI has mesh tools)</t>
  </si>
  <si>
    <t xml:space="preserve">Likely out of scope (D19).</t>
  </si>
  <si>
    <t xml:space="preserve">Hollowing</t>
  </si>
  <si>
    <t xml:space="preserve">Hollow / hole punch / organic cut</t>
  </si>
  <si>
    <t xml:space="preserve">useHollowingManager, useHolePunchManager, page.tsx</t>
  </si>
  <si>
    <t xml:space="preserve">Outside this hook; implicit active-model target.</t>
  </si>
  <si>
    <t xml:space="preserve">Command</t>
  </si>
  <si>
    <t xml:space="preserve">What it does</t>
  </si>
  <si>
    <t xml:space="preserve">Shared modules it calls</t>
  </si>
  <si>
    <t xml:space="preserve">Rules restated by hand</t>
  </si>
  <si>
    <t xml:space="preserve">GUI equivalents</t>
  </si>
  <si>
    <t xml:space="preserve">Differences from the app</t>
  </si>
  <si>
    <t xml:space="preserve">Tests</t>
  </si>
  <si>
    <t xml:space="preserve">Notes</t>
  </si>
  <si>
    <t xml:space="preserve">(save path) loadVoxl / toBuildInput / saveVoxl</t>
  </si>
  <si>
    <t xml:space="preserve">scripts/dragonfruit-ts-cli.ts:64-114</t>
  </si>
  <si>
    <t xml:space="preserve">Every mutating command loads the .voxl with parseVoxlAuto (keeps MESH bytes by model id in LOADED_MESH_BYTES, ORIG bytes in LOADED_ORIG_BYTES), changes the V1-shaped doc, then rewrites it with serializeVoxlDocumentV2(input, meshBytes) and no sha256Map and no options.</t>
  </si>
  <si>
    <t xml:space="preserve">parseVoxlAuto (voxl/codec), serializeVoxlDocumentV2 (voxl/codec-v2), type BuildVoxlDocumentInput</t>
  </si>
  <si>
    <t xml:space="preserve">The doc-to-writer adapter itself. The app's equivalent is ExportManager.ts:1344-1367 (documentInput) plus serializeOptions at 1384-1393; nothing shared.</t>
  </si>
  <si>
    <t xml:space="preserve">Save / Save As / autosave: ExportManager VOXL path (ExportManager.ts:1344-1460, serializeVoxlDocumentV2Streaming or serializeVoxlDocumentV2).</t>
  </si>
  <si>
    <t xml:space="preserve">Now passes plates, activePlateId, meta.printer and extensions (the ADR's measured plate loss is fixed at 96-104). Still drops or changes: (1) ORIG full-res chunks: originalMeshBytes is never passed, so every CLI save removes them while model.originalRef still says embedded-chunk (dangling). (2) No sha256Map, so MESH dedup is off (shared chunks are written N times) and meshRef.sha256 disappears. (3) scene.plateName (legacy single-plate name) is not passed and is lost when the file has no plates list. (4) Layout is always written as 3.1 chunked (chunkModifierSnapshots default); the app keeps inline layout for older files. (5) createdAt is reset (the app does the same). The app writes extensions only as thumbnail + plate ordering, so it drops anything else the CLI keeps (e.g. extensions.groups).</t>
  </si>
  <si>
    <t xml:space="preserve">scripts/check-scene-slice.ts twoPlates (lines 118-191) checks that a transform-model save keeps plates, activePlateId and B.plateId. No full-field round-trip test (ADR rule 6). voxl/__tests__ cover the writer, not the CLI adapter.</t>
  </si>
  <si>
    <t xml:space="preserve">Highest-value fix: pass originalMeshBytes (index-keyed from LOADED_ORIG_BYTES), sha256 maps and plateName. Add a round-trip test: app-written fixture with ORIG, dedup, modifiers, plates, printer, thumbnail -&gt; CLI no-op save -&gt; byte or field equality.</t>
  </si>
  <si>
    <t xml:space="preserve">scripts/dragonfruit-ts-cli.ts:218-227 (createEmptyDoc 116-143)</t>
  </si>
  <si>
    <t xml:space="preserve">Writes an empty scene: no models, empty support forest, generator 'dragonfruit-ts-cli'.</t>
  </si>
  <si>
    <t xml:space="preserve">The empty-document shape (createEmptyDoc), including the support meta block.</t>
  </si>
  <si>
    <t xml:space="preserve">New Scene (TopBar onNewScene -&gt; handleRequestNewScene in page.tsx:10459).</t>
  </si>
  <si>
    <t xml:space="preserve">No plates list or activePlateId (the app always has at least plate-1 in state); no printer bundle in meta; no plate-ordering extension. History: n/a.</t>
  </si>
  <si>
    <t xml:space="preserve">check-scene-slice.ts oneCube/twoPlates (as a setup step only).</t>
  </si>
  <si>
    <t xml:space="preserve">Low risk. Could take a printer bundle so later commands read the footprint from meta.printer.</t>
  </si>
  <si>
    <t xml:space="preserve">scripts/dragonfruit-ts-cli.ts:229-267</t>
  </si>
  <si>
    <t xml:space="preserve">Appends a VoxlModelEntry: new uuid, name, grey colour, polygonCount 0, external-file mesh ref (basename only), given position/rotation/scale; sets activeModelId.</t>
  </si>
  <si>
    <t xml:space="preserve">None (types only)</t>
  </si>
  <si>
    <t xml:space="preserve">The model-entry defaults (colour '#a3a3a3', visible, polygonCount 0). The app builds models in addModelFromGeometry (useSceneCollectionManager.ts:3672) / loadFiles import pipeline.</t>
  </si>
  <si>
    <t xml:space="preserve">Import mesh / drop file -&gt; scene.loadFiles -&gt; addModelFromGeometry (+ processGeometry centring, auto-repair, free-spot placement, drop to plate, import defaults).</t>
  </si>
  <si>
    <t xml:space="preserve">Mesh not embedded (external-file, resolved later against --mesh-dir), geometry not centred (the app centres X/Y and puts min Z at 0 in local space, useStlGeometry.ts:627-629), no plateId and no plate choice, no free-spot placement, no drop to plate, no polygonCount/classification, selectedModelIds untouched, no repair. No history label.</t>
  </si>
  <si>
    <t xml:space="preserve">check-scene-slice.ts (setup).</t>
  </si>
  <si>
    <t xml:space="preserve">The uncentred geometry interacts with applyVoxlTransform, which centres only when rotation or scale is non-identity (see slice row).</t>
  </si>
  <si>
    <t xml:space="preserve">scripts/dragonfruit-ts-cli.ts:269-297</t>
  </si>
  <si>
    <t xml:space="preserve">Removes the model by id, filters roots/trunks/branches/leaves/braces whose modelId matches, clears it from active/selected.</t>
  </si>
  <si>
    <t xml:space="preserve">Support clean-up on model delete, by hand and incomplete. The app uses deleteSupportsForModel (supports/PlacementLogic/SupportModelLinker.ts:110) over MODEL_ID_COLLECTION_KEYS plus segments, knots and kickstand-owned roots.</t>
  </si>
  <si>
    <t xml:space="preserve">Delete model(s): deleteModels / deleteModel / deleteModelsAndExtraPlates (useSceneCollectionManager.ts:4744, 4896), delete registry, context-menu 'delete'.</t>
  </si>
  <si>
    <t xml:space="preserve">Leaves twigs, sticks, stumps, kickstands and knots belonging to the model (orphans), and knots on removed shafts. Does not dissolve link groups that fall below 2 members (the app does at ~4820), does not touch extensions.groups, does not remove plates emptied by the delete (deleteModelsAndExtraPlates). No history (app: snapshot with includeSupportState).</t>
  </si>
  <si>
    <t xml:space="preserve">Easy parity win: call deleteSupportsForModel's pure core (needs a plain-state variant; today it is in a module that imports state.ts).</t>
  </si>
  <si>
    <t xml:space="preserve">scripts/dragonfruit-ts-cli.ts:299-324</t>
  </si>
  <si>
    <t xml:space="preserve">Read-only listing: id, name, visible, mesh name, transform; JSON or text.</t>
  </si>
  <si>
    <t xml:space="preserve">parseVoxlAuto</t>
  </si>
  <si>
    <t xml:space="preserve">Models panel list (ModelManagerPanel).</t>
  </si>
  <si>
    <t xml:space="preserve">Does not show plate membership, groups, link groups or support counts.</t>
  </si>
  <si>
    <t xml:space="preserve">Used for ids in docs only; no test.</t>
  </si>
  <si>
    <t xml:space="preserve">Add plate number via resolveModelPlateId to match the panel's grouping by plate.</t>
  </si>
  <si>
    <t xml:space="preserve">scripts/dragonfruit-ts-cli.ts:326-350</t>
  </si>
  <si>
    <t xml:space="preserve">Overwrites position/rotation/scale vectors directly on the entry.</t>
  </si>
  <si>
    <t xml:space="preserve">The transform write (cited by ADR-0045). The app's rule lives in updateModelTransform (useSceneCollectionManager.ts:3091-3229) + commitModelTransformHistory (3231-3305).</t>
  </si>
  <si>
    <t xml:space="preserve">Gizmo drag, transform panel, nudges -&gt; updateModelTransform / updateModelTransforms; history label transformModelLabel(name).</t>
  </si>
  <si>
    <t xml:space="preserve">App refuses moves on/onto a locked plate (isModelPlateLocked); moves the model's supports with it (transformSupportsForModel); propagates the delta to linkGroupId peers; recomputes plateId (withPlateMembership) and may switch the active plate (followLandedPlate). CLI does none of these, so supports stay behind, linked peers do not follow, and plateId is stale.</t>
  </si>
  <si>
    <t xml:space="preserve">check-scene-slice.ts twoPlates uses it as a no-op save only.</t>
  </si>
  <si>
    <t xml:space="preserve">Candidate pure fn: computeModelTransformUpdate({models, supports?, targetId, next, plateFrames, lockedPlateIds}) -&gt; {modelUpdates, supportDelta, landedPlateIds, refused}.</t>
  </si>
  <si>
    <t xml:space="preserve">scripts/dragonfruit-ts-cli.ts:352-384</t>
  </si>
  <si>
    <t xml:space="preserve">Deep-copies the entry count times with new ids, name 'Name (i)', position += offset*i.</t>
  </si>
  <si>
    <t xml:space="preserve">Copy naming and offset placement. App: duplicateModelWithTransforms (useSceneCollectionManager.ts:5588-5707) + duplicatedModelName (modelCopyNames.ts:16) + arrange-based placement in useArrangeManager.</t>
  </si>
  <si>
    <t xml:space="preserve">Duplicate tool / arrange duplicates (useArrangeManager -&gt; scene.duplicateModelWithTransforms), paste.</t>
  </si>
  <si>
    <t xml:space="preserve">Supports are not copied (app pastes the source's supports onto each copy). Copies keep the source's mesh ref but get no bytes: for an embedded-chunk source the writer emits a MESH-less ref without chunkIndex, so the copy has no geometry after reload (suspected; read toBuildInput 87-90 and codec-v2 575-591). Group: app puts source and copies in one groupId; CLI does not. linkGroupId copied verbatim (app does the same). No plate assignment or bed overflow, no history label (app: duplicateModelLabel / duplicateModelsLabel).</t>
  </si>
  <si>
    <t xml:space="preserve">Fix by also mapping copies to the source's bytes in toBuildInput, or setting chunkIndex. Confidence Med on the geometry loss; verify with a run.</t>
  </si>
  <si>
    <t xml:space="preserve">scripts/dragonfruit-ts-cli.ts:1124-1252</t>
  </si>
  <si>
    <t xml:space="preserve">Loads each visible model's STL from --mesh-dir, builds ArrangeModel with THREE objects and calls computeHighPrecisionArrangeUpdates on one plate of --build-width/depth (default 218x122), origin 'center'; writes position and rotation back.</t>
  </si>
  <si>
    <t xml:space="preserve">computeHighPrecisionArrangeUpdates (arrange/highPrecisionArrange.ts:1141), quaternionFromGlobalEuler</t>
  </si>
  <si>
    <t xml:space="preserve">The plate frame and model scope: app computes frame via resolveArrangeFrame (useArrangeManager.ts:388-410) and fills beds via freeRectsForPlate + bed targets (411-470, 1300-1420).</t>
  </si>
  <si>
    <t xml:space="preserve">Arrange tool / 'A' hotkey onArrangeAll (page.tsx:8003) -&gt; handleHighPrecisionArrangeModels -&gt; computeHighPrecisionArrangeResultWorker.</t>
  </si>
  <si>
    <t xml:space="preserve">Footprint from flags, not doc.meta.printer; no plateOffsetMm, so every visible model on every plate is packed onto plate 1; no locked-plate skip; no free-rect filling, no new beds for overflow (spilled models still get positions); no support-aware footprints; no safety margins; allowRotateOnZ always false. Supports are not moved with models (app uses updateModelTransforms). Only external meshes: embedded models fail 'Mesh not found'.</t>
  </si>
  <si>
    <t xml:space="preserve">Algorithm only: arrange/__tests__/highPrecisionArrange.test.ts, arrangeNoOverlap.test.ts. No CLI/app parity test.</t>
  </si>
  <si>
    <t xml:space="preserve">Make it plate-aware with computePlateFrames + plateSliceScope-like scoping and read bytes from LOADED_MESH_BYTES.</t>
  </si>
  <si>
    <t xml:space="preserve">scene slice</t>
  </si>
  <si>
    <t xml:space="preserve">scripts/dragonfruit-ts-cli.ts:1379-1737 (resolveSlicePlate 1415-1439); scripts/cli/sceneSliceJob.ts:1-289; scripts/cli/sceneSliceMesh.ts:1-128</t>
  </si>
  <si>
    <t xml:space="preserve">Resolves printer/material/AA/dither job, picks a plate (--plate or active), slices only that plate's visible models shifted by the plate offset, bakes transforms, splits model/support triangles by classification, builds the mesh with the app orchestrator (supports+raft), writes positions.bin and runs `dragonfruit-cli slice run --job`.</t>
  </si>
  <si>
    <t xml:space="preserve">resolveSceneSliceJob/buildSceneSliceRun -&gt; assembleSliceJob, buildNativeSliceJob, resolveSliceLayerCount, resolveSliceRasterSettings (slicing/sliceJobAssembly), profileStore, toNativeMetadataPayload; computePlateFrames, plateSliceScope, resolveModelPlateId (plates/plateLayout), readPlateOrdering (plateCascade); buildSolidSliceMeshForWasm (rasterLayerZipExport) via sceneSliceMesh; loadFromImportFormat, setRaftSettings (supports state); reportAddressesTriangleSoup (voxl/classification); quaternionFromGlobalEuler.</t>
  </si>
  <si>
    <t xml:space="preserve">applyVoxlTransform (1309-1355) restates the app's model matrix; it centres on the bbox only when rotation/scale is non-identity (translation fast-path skips centring). Model/support split by classification restates effectiveModelTriangleCount. Origin mode assumed 'center'.</t>
  </si>
  <si>
    <t xml:space="preserve">Slice in SlicingPanel / ExportPanelStack (slice scope per plate) -&gt; sliceExportOrchestrator.</t>
  </si>
  <si>
    <t xml:space="preserve">Unbaked hollowing/hole punches are ignored (app bakes via IPC first); supportTipShrinkPercent 0; no thumbnail; origin mode not in the file; without --printer supports are not sliced. Plate lock not relevant.</t>
  </si>
  <si>
    <t xml:space="preserve">src/features/slicing/__tests__/cliJobParity.test.ts (job fields, printers x materials x AA); scripts/check-scene-slice.ts (one cube; two plates via --plate 1/p2); plates/__tests__/plateLayout.test.ts; CI job test.yml:158-202.</t>
  </si>
  <si>
    <t xml:space="preserve">The one command already at ADR 'done'. Remaining gap: centring inconsistency in applyVoxlTransform for uncentred external STLs (Med confidence).</t>
  </si>
  <si>
    <t xml:space="preserve">scene group</t>
  </si>
  <si>
    <t xml:space="preserve">scripts/dragonfruit-ts-cli.ts:742-777</t>
  </si>
  <si>
    <t xml:space="preserve">Appends {id, name, modelIds} to doc.extensions.groups.</t>
  </si>
  <si>
    <t xml:space="preserve">Grouping, in a different data model. The app's rule is applyModelGrouping (modelGroupingHistory.ts) writing groupId/groupName on each model.</t>
  </si>
  <si>
    <t xml:space="preserve">Models panel context menu 'group-selected' -&gt; handleGroupSelectedModels -&gt; scene.groupModels (useSceneCollectionManager.ts:4180-4203), label from transition.description.</t>
  </si>
  <si>
    <t xml:space="preserve">No parity at all: the app never reads extensions.groups, does not persist groupId/groupName to VOXL (no field in VoxlModelEntry or ExportManager), and its writer replaces extensions, so an app save erases CLI groups. CLI does not validate ids, allows a model in several groups, ids are bare uuids (app: 'group-&lt;uuid&gt;'), no reuse of an existing common group.</t>
  </si>
  <si>
    <t xml:space="preserve">Decision needed: persist the app's per-model groupId/groupName in MODL, then make the CLI call applyModelGrouping (already pure, no THREE).</t>
  </si>
  <si>
    <t xml:space="preserve">scene ungroup</t>
  </si>
  <si>
    <t xml:space="preserve">scripts/dragonfruit-ts-cli.ts:779-794</t>
  </si>
  <si>
    <t xml:space="preserve">Removes a group entry from extensions.groups by id.</t>
  </si>
  <si>
    <t xml:space="preserve">Ungrouping on extensions.groups; app uses applyModelGroupUngrouping / applyModelUngrouping.</t>
  </si>
  <si>
    <t xml:space="preserve">'ungroup-folder' / 'ungroup-selected' menu -&gt; scene.ungroupGroup / ungroupModels (useSceneCollectionManager.ts:4205-4241).</t>
  </si>
  <si>
    <t xml:space="preserve">Same mismatch as scene group; no per-model ungroup; no history.</t>
  </si>
  <si>
    <t xml:space="preserve">See scene group.</t>
  </si>
  <si>
    <t xml:space="preserve">scripts/dragonfruit-ts-cli.ts:796-811</t>
  </si>
  <si>
    <t xml:space="preserve">Prints extensions.groups.</t>
  </si>
  <si>
    <t xml:space="preserve">Folder rows in ModelManagerPanel.</t>
  </si>
  <si>
    <t xml:space="preserve">Shows only CLI-written groups; app groups (groupId on models) are invisible here and not in the file anyway.</t>
  </si>
  <si>
    <t xml:space="preserve">scripts/dragonfruit-ts-cli.ts:813-842</t>
  </si>
  <si>
    <t xml:space="preserve">Sets position.x = position.y = 0.</t>
  </si>
  <si>
    <t xml:space="preserve">Centring. App: handleCenterSelectedModels (page.tsx:9171-9189) -&gt; buildCenterSelectionUpdates (selectionPosition.ts:71) with target (0,0) or (w/2,d/2) by originMode -&gt; applySelectionPositionUpdates.</t>
  </si>
  <si>
    <t xml:space="preserve">Center selection button in the transform panel. Comment claims it wraps useModelTransform.centerXY (hooks/useModelTransform.ts:82), which is the per-gizmo form.</t>
  </si>
  <si>
    <t xml:space="preserve">Ignores originMode front_left, multi-select centring of the selection's centre, plate offset (on plate 2 the model jumps to plate 1; check whether the app adds the active plate offset in applySelectionPositionUpdates), lock, linked peers, support movement. No history.</t>
  </si>
  <si>
    <t xml:space="preserve">buildCenterSelectionUpdates is pure apart from THREE vectors; a plain {x,y} variant would serve both.</t>
  </si>
  <si>
    <t xml:space="preserve">scripts/dragonfruit-ts-cli.ts:1029-1066</t>
  </si>
  <si>
    <t xml:space="preserve">Reads the external STL, finds raw min Z, sets position.z = -minZ.</t>
  </si>
  <si>
    <t xml:space="preserve">Drop to plate. App: buildLiftDropUpdates/getModelLowestWorldZ (selectionLiftDrop.ts:14-67) using the full model matrix around the geometry centre; snapToPlatform uses PLATFORM_SNAP_CLEARANCE_MM.</t>
  </si>
  <si>
    <t xml:space="preserve">Drop / Lift buttons -&gt; handleDropSelectedModels / handleLiftSelectedModels (page.tsx:9191-9222) -&gt; scene.updateModelTransforms; also auto-lift on import.</t>
  </si>
  <si>
    <t xml:space="preserve">Ignores rotation and scale, and the CLI's own centring when rotated/scaled, so the result is wrong for any rotated or scaled model; embedded meshes are not supported; no lift distance option; no clearance; supports not moved; no lock check; no history.</t>
  </si>
  <si>
    <t xml:space="preserve">check-scene-slice.ts oneCube/twoPlates (unrotated cube only).</t>
  </si>
  <si>
    <t xml:space="preserve">Port getModelLowestWorldZ to plain arrays (it is pure apart from THREE math).</t>
  </si>
  <si>
    <t xml:space="preserve">scripts/dragonfruit-ts-cli.ts:1068-1121</t>
  </si>
  <si>
    <t xml:space="preserve">Merges visible models' external STLs with applyVoxlTransform, writes positions.bin, shells to Rust `mesh export-stl`.</t>
  </si>
  <si>
    <t xml:space="preserve">quaternionFromGlobalEuler (inside applyVoxlTransform)</t>
  </si>
  <si>
    <t xml:space="preserve">Model matrix (applyVoxlTransform), visible-model scope.</t>
  </si>
  <si>
    <t xml:space="preserve">Export STL (ExportManager STL path, ExportPanel).</t>
  </si>
  <si>
    <t xml:space="preserve">All plates merged with world offsets (no plate scope, no shift to origin); supports and raft never exported; embedded meshes not supported; tmp dir via execSync string (paths with spaces break).</t>
  </si>
  <si>
    <t xml:space="preserve">Could reuse plateSliceScope and the sceneSliceMesh orchestrator to include supports.</t>
  </si>
  <si>
    <t xml:space="preserve">scripts/dragonfruit-ts-cli.ts:648-668</t>
  </si>
  <si>
    <t xml:space="preserve">Dumps the parsed doc as JSON or a summary.</t>
  </si>
  <si>
    <t xml:space="preserve">Open scene (read side only).</t>
  </si>
  <si>
    <t xml:space="preserve">Summary counts omit twigs/sticks/stumps/kickstands.</t>
  </si>
  <si>
    <t xml:space="preserve">support add-trunk</t>
  </si>
  <si>
    <t xml:space="preserve">scripts/dragonfruit-ts-cli.ts:390-434</t>
  </si>
  <si>
    <t xml:space="preserve">Pushes a Roots (identity rot, given diameter, diskHeight 0.3, coneHeight 1.0) and a Trunk with one empty segment.</t>
  </si>
  <si>
    <t xml:space="preserve">Trunk + root construction field by field (cited by ADR-0045). App: buildTrunkData / buildTrunkDataFromPlacement (supports/SupportTypes/Trunk/trunkBuilder.ts:168-240) with settings, SmartPlacementV3 routing, tip profile, joints, settingsCodeHex.</t>
  </si>
  <si>
    <t xml:space="preserve">Trunk placement click (useTrunkPlacement) -&gt; addSupportEntityWithHistory; auto-support.</t>
  </si>
  <si>
    <t xml:space="preserve">No contactCone (no tip on the model), no joints, no routing/collision, no settingsCodeHex, no typeId, constants not from settings, --position used as root position not tip; modelId not validated; no plate-bounds check. No history.</t>
  </si>
  <si>
    <t xml:space="preserve">buildTrunkDataFromPlacement + calculateStandardPlacement are close to pure but read getSettings() and THREE; extracting needs settings as a parameter.</t>
  </si>
  <si>
    <t xml:space="preserve">support add-branch</t>
  </si>
  <si>
    <t xml:space="preserve">scripts/dragonfruit-ts-cli.ts:436-468</t>
  </si>
  <si>
    <t xml:space="preserve">Pushes a Branch on a knot with one empty segment.</t>
  </si>
  <si>
    <t xml:space="preserve">Branch construction by hand.</t>
  </si>
  <si>
    <t xml:space="preserve">Branch placement (useBranchPlacement / BranchPlacementController).</t>
  </si>
  <si>
    <t xml:space="preserve">No contactCone, no joints, no route, knot existence not checked, modelId not checked against the knot's host.</t>
  </si>
  <si>
    <t xml:space="preserve">support add-leaf</t>
  </si>
  <si>
    <t xml:space="preserve">scripts/dragonfruit-ts-cli.ts:470-504</t>
  </si>
  <si>
    <t xml:space="preserve">Pushes a Leaf with a contactCone built from flags (cast `as any`).</t>
  </si>
  <si>
    <t xml:space="preserve">Leaf / contact cone construction.</t>
  </si>
  <si>
    <t xml:space="preserve">Leaf placement (useLeafPlacement / LeafPlacementController).</t>
  </si>
  <si>
    <t xml:space="preserve">contactCone lacks required id and profile (ContactCone type), uses non-type fields (tipDiameterMm etc.), so the entity is malformed for the app; no settings, no socket joint.</t>
  </si>
  <si>
    <t xml:space="preserve">Likely renders wrong or throws in the app; verify.</t>
  </si>
  <si>
    <t xml:space="preserve">support add-brace</t>
  </si>
  <si>
    <t xml:space="preserve">scripts/dragonfruit-ts-cli.ts:506-533</t>
  </si>
  <si>
    <t xml:space="preserve">Pushes a Brace between two knot ids with profile.diameter.</t>
  </si>
  <si>
    <t xml:space="preserve">Brace construction.</t>
  </si>
  <si>
    <t xml:space="preserve">Brace placement (useBracePlacement), auto-bracing (autoBrace.ts).</t>
  </si>
  <si>
    <t xml:space="preserve">No knot validation, no curve/placementSurface, no history.</t>
  </si>
  <si>
    <t xml:space="preserve">support add-knot</t>
  </si>
  <si>
    <t xml:space="preserve">scripts/dragonfruit-ts-cli.ts:535-560</t>
  </si>
  <si>
    <t xml:space="preserve">Pushes a Knot {parentShaftId, t, pos}.</t>
  </si>
  <si>
    <t xml:space="preserve">Knot creation; pos is not derived from t on the shaft.</t>
  </si>
  <si>
    <t xml:space="preserve">Joint/knot creation (supports-add-joint menu, useJointCreationHotkey).</t>
  </si>
  <si>
    <t xml:space="preserve">pos and t can disagree; diameter not computed; shaft not validated.</t>
  </si>
  <si>
    <t xml:space="preserve">support add-twig</t>
  </si>
  <si>
    <t xml:space="preserve">scripts/dragonfruit-ts-cli.ts:894-930</t>
  </si>
  <si>
    <t xml:space="preserve">Pushes a twig with two contact disks (fixed normals, profile {type:'default'}).</t>
  </si>
  <si>
    <t xml:space="preserve">Twig construction.</t>
  </si>
  <si>
    <t xml:space="preserve">Twig placement (SupportTypes/Twig).</t>
  </si>
  <si>
    <t xml:space="preserve">Normals fixed to -Z, profile not a real ContactDiskProfile, no settings.</t>
  </si>
  <si>
    <t xml:space="preserve">support add-stick</t>
  </si>
  <si>
    <t xml:space="preserve">scripts/dragonfruit-ts-cli.ts:936-971</t>
  </si>
  <si>
    <t xml:space="preserve">Pushes a stick with two contact cones.</t>
  </si>
  <si>
    <t xml:space="preserve">Stick construction.</t>
  </si>
  <si>
    <t xml:space="preserve">Stick placement (SupportTypes/Stick).</t>
  </si>
  <si>
    <t xml:space="preserve">Cones lack id/profile; fixed normals.</t>
  </si>
  <si>
    <t xml:space="preserve">support add-kickstand</t>
  </si>
  <si>
    <t xml:space="preserve">scripts/dragonfruit-ts-cli.ts:977-1027</t>
  </si>
  <si>
    <t xml:space="preserve">Pushes a KickstandBuildResult {root, hostKnot, kickstand} into supports.kickstands.</t>
  </si>
  <si>
    <t xml:space="preserve">Kickstand + root + host knot construction.</t>
  </si>
  <si>
    <t xml:space="preserve">Kickstand placement (useKickstandPlacement).</t>
  </si>
  <si>
    <t xml:space="preserve">hostKnot pos is a placeholder (= base), hostKnot not added to knots, no legality check (error field), profile ratios invented (0.8/0.5).</t>
  </si>
  <si>
    <t xml:space="preserve">support update</t>
  </si>
  <si>
    <t xml:space="preserve">scripts/dragonfruit-ts-cli.ts:670-740</t>
  </si>
  <si>
    <t xml:space="preserve">Finds an element by id across collections and patches diameter/position/tip diameter.</t>
  </si>
  <si>
    <t xml:space="preserve">Per-type field edits.</t>
  </si>
  <si>
    <t xml:space="preserve">Support inspector / Support Studio edits (supportEditHistory.ts), gizmo drags.</t>
  </si>
  <si>
    <t xml:space="preserve">No dependent geometry update (moving a root does not move its trunk; app's updateKnot etc. recompute); --height parsed but unused; kickstand 'found' but nothing changes; only first segment diameter; no history.</t>
  </si>
  <si>
    <t xml:space="preserve">support remove</t>
  </si>
  <si>
    <t xml:space="preserve">scripts/dragonfruit-ts-cli.ts:562-618</t>
  </si>
  <si>
    <t xml:space="preserve">Hand-written cascade: root -&gt; trunks -&gt; knots -&gt; branches/leaves/braces/kickstands, recursively.</t>
  </si>
  <si>
    <t xml:space="preserve">Removal cascade ('mirrors state.ts removeTrunk/removeBranch'). App: removeSupportEntity -&gt; collectCascade (supports/supportCascade.ts:111) driven by SUPPORT_GRAPH_NODES edges with takeHost rules.</t>
  </si>
  <si>
    <t xml:space="preserve">Delete key in support mode (delete registry priority 100, useSupportInteractionManager), Clear All (removeSupportEntities).</t>
  </si>
  <si>
    <t xml:space="preserve">Removing a knot does not cascade to branches/leaves/braces hosted on it; twigs/sticks/stumps and span-hosted knots not handled; 'take host if unused' semantics absent. No history.</t>
  </si>
  <si>
    <t xml:space="preserve">None for CLI; supports/__tests__/removalRoundTrip.test.ts covers the app cascade.</t>
  </si>
  <si>
    <t xml:space="preserve">supportCascade.collectCascade is already pure over Pick&lt;SupportState,...&gt; (records, not arrays): CLI needs an array-&gt;record adapter.</t>
  </si>
  <si>
    <t xml:space="preserve">support straighten-segment</t>
  </si>
  <si>
    <t xml:space="preserve">scripts/dragonfruit-ts-cli.ts:844-888</t>
  </si>
  <si>
    <t xml:space="preserve">Deletes bezier fields from the matching segment in trunks/branches/twigs/sticks.</t>
  </si>
  <si>
    <t xml:space="preserve">Half of toggleSegmentCurve (supports/state.ts:2105).</t>
  </si>
  <si>
    <t xml:space="preserve">Context menu 'supports-toggle-curve' (page.tsx handleEditorMenuAction) -&gt; toggleSegmentCurve.</t>
  </si>
  <si>
    <t xml:space="preserve">Straighten only (no curve on); brace curves (span-hosted, curve field on the brace) not handled; no history.</t>
  </si>
  <si>
    <t xml:space="preserve">support list</t>
  </si>
  <si>
    <t xml:space="preserve">scripts/dragonfruit-ts-cli.ts:620-646</t>
  </si>
  <si>
    <t xml:space="preserve">Counts and dumps supports.</t>
  </si>
  <si>
    <t xml:space="preserve">Support counts in ModelSupportsModal.</t>
  </si>
  <si>
    <t xml:space="preserve">Text summary omits twigs/sticks/stumps.</t>
  </si>
  <si>
    <t xml:space="preserve">(router) parseArgs / withTiming / main</t>
  </si>
  <si>
    <t xml:space="preserve">scripts/dragonfruit-ts-cli.ts:157-212, 1743-1879</t>
  </si>
  <si>
    <t xml:space="preserve">Flag parsing, JSON _perf injection, dispatch switch for 15 scene + 12 support subcommands.</t>
  </si>
  <si>
    <t xml:space="preserve">scripts/test-unit/register.mjs (Lingui stubs)</t>
  </si>
  <si>
    <t xml:space="preserve">No command creates/removes/locks/renames plates, links models, sets plate membership, or edits hollowing/cut/mirror; none records history.</t>
  </si>
  <si>
    <t xml:space="preserve">check-scene-slice.ts runs the CLI as a subprocess (catches load failures).</t>
  </si>
  <si>
    <t xml:space="preserve">A value like --position -5,0,0 starting with '--' is fine, but a value starting with '--' would be taken as a flag.</t>
  </si>
  <si>
    <t xml:space="preserve">Order</t>
  </si>
  <si>
    <t xml:space="preserve">Group</t>
  </si>
  <si>
    <t xml:space="preserve">Purpose</t>
  </si>
  <si>
    <t xml:space="preserve">Draft pure functions</t>
  </si>
  <si>
    <t xml:space="preserve">Depends on</t>
  </si>
  <si>
    <t xml:space="preserve">Why this position</t>
  </si>
  <si>
    <t xml:space="preserve">Ops mapped</t>
  </si>
  <si>
    <t xml:space="preserve">…implicit target</t>
  </si>
  <si>
    <t xml:space="preserve">Tests and small moves that every later extraction leans on: a full CLI save round-trip test (ADR rule 6), the snapshot registry in its own module, and pinning the suspected bugs before anyone touches the code around them.</t>
  </si>
  <si>
    <t xml:space="preserve">• (test) voxlRoundTrip: app-written scene → CLI load → CLI save → compare every field and mesh chunk
• move sceneSnapshotRegistry + storeSceneSnapshotPair to scene/history/sceneSnapshotRegistry.ts (already React-free)
• (tests) one failing-or-passing test per suspected bug in the Bugs sheet, marked as 'pins current behaviour'</t>
  </si>
  <si>
    <t xml:space="preserve">S–M</t>
  </si>
  <si>
    <t xml:space="preserve">ADR rule 6 is only pinned for plates today. Two suspected CLI save defects (meshless duplicates, dropped ORIG chunks) would corrupt any later parity test's input.</t>
  </si>
  <si>
    <t xml:space="preserve">Finish what plateLayout.ts started: every plate rect from computePlateFrames, a pure re-layout rule, and pure plans for adding/removing plates. Adds the plate commands the CLI lacks.</t>
  </si>
  <si>
    <t xml:space="preserve">• relaidPlateShifts({ models, from: { plates, footprint, ordering }, to: {...} }) → { modelId, dxMm, dyMm }[]
• planAddPlates({ plates, count, footprint, ordering, models }) → { plates, shifts }
• planRemovePlate({ plates, plateId, models }) → { plates, removeModelIds, nextActivePlateId } | { refused }
• planEmptyScenePlates({ plates }) → plates (the 'scene became empty' rule now inside deleteModels)
• resolveModelPlateId({ model, frames }) — convert to one params object (ADR rule 4)</t>
  </si>
  <si>
    <t xml:space="preserve">foundation</t>
  </si>
  <si>
    <t xml:space="preserve">Already half done, smallest conceptual step, unblocks paste/duplicate/import placement and lets `scene slice` honour meta.printer. ~9 sites still recompute plate rects by hand.</t>
  </si>
  <si>
    <t xml:space="preserve">Tiny rules over a model list: rename, visibility, colour, support designation, link/unlink. Each is a few lines of real logic wrapped in history plumbing.</t>
  </si>
  <si>
    <t xml:space="preserve">• renameModels({ models, modelId, name }) → models
• setModelsVisible({ models, modelIds, visible }) → models
• setModelsColor({ models, modelIds, color }) → models (split from the viewer preference)
• setSupportDesignation({ models, modelIds, isSupport }) → models  (changes slicing → check:scene-slice case)
• linkModels({ models, modelIds }) / unlinkModels({ models, modelIds }) → models</t>
  </si>
  <si>
    <t xml:space="preserve">S each</t>
  </si>
  <si>
    <t xml:space="preserve">Low (designation: Med)</t>
  </si>
  <si>
    <t xml:space="preserve">Nearly pure already. Good first PRs to establish the pattern and the parity-test template; adds CLI commands that don't exist yet.</t>
  </si>
  <si>
    <t xml:space="preserve">Rules already pure in modelGroupingHistory.ts. The blocker is storage: the app keeps groupId/groupName on models and never saves them; the CLI writes extensions.groups, which the app ignores.</t>
  </si>
  <si>
    <t xml:space="preserve">• applyModelGrouping (exists) — make CLI group/ungroup call it
• renameGroup({ models, groupId, name }) → models
• modelIdsInGroup({ models, groupId }) → ids  (today selectGroup does this inline)</t>
  </si>
  <si>
    <t xml:space="preserve">S (after decision D5)</t>
  </si>
  <si>
    <t xml:space="preserve">Med (file format)</t>
  </si>
  <si>
    <t xml:space="preserve">decision D5</t>
  </si>
  <si>
    <t xml:space="preserve">Cheapest real parity win once Ender picks where groups live in VOXL.</t>
  </si>
  <si>
    <t xml:space="preserve">One pure builder for what goes to the VOXL writer. Today autosave, Ctrl+S, the export panel and the CLI each assemble it by hand and disagree (hidden models, plates, printer, ordering, ORIG chunks, sha map).</t>
  </si>
  <si>
    <t xml:space="preserve">• buildVoxlSaveInput({ models, supports, plates, activePlateId, printer, plateOrdering, scope }) → BuildVoxlDocumentInput</t>
  </si>
  <si>
    <t xml:space="preserve">High (file format)</t>
  </si>
  <si>
    <t xml:space="preserve">foundation, decision D9</t>
  </si>
  <si>
    <t xml:space="preserve">ADR rule 6 at the source: one function, so the four savers cannot drift.</t>
  </si>
  <si>
    <t xml:space="preserve">deleteModels holds three pure rules (link-group dissolve, selection cleanup, empty-scene plates) plus the support cascade. CLI remove-model restates the cascade for 5 of ~10 support collections.</t>
  </si>
  <si>
    <t xml:space="preserve">• planDeleteModels({ models, plates, modelIds }) → { models, plates, dissolvedLinkGroups }
• supportsCascadeForModels({ supports, modelIds }) → { removeIds by collection }  (pure compute half of deleteSupportsForModel)</t>
  </si>
  <si>
    <t xml:space="preserve">High (support geometry)</t>
  </si>
  <si>
    <t xml:space="preserve">plates, decision D13</t>
  </si>
  <si>
    <t xml:space="preserve">Clearest drift case found: CLI leaves knots, twigs, sticks, stumps and kickstands orphaned.</t>
  </si>
  <si>
    <t xml:space="preserve">Two rules each written four times: 'is this model inside / overlapping the build volume' and 'what Z seats this model on the plate'. They decide what gets sliced and where models sit.</t>
  </si>
  <si>
    <t xml:space="preserve">• modelsOutsideVolume({ models, frames, volume, mode: 'overlap'|'contain', margins?, supportBounds? }) → ids
• seatZ({ model, geometryBounds, autoLift, liftDistance }) → z  (wraps selectionLiftDrop.getModelLowestWorldZ)</t>
  </si>
  <si>
    <t xml:space="preserve">High (slicing output)</t>
  </si>
  <si>
    <t xml:space="preserve">plates, decisions D11/D12</t>
  </si>
  <si>
    <t xml:space="preserve">App and CLI can slice different model sets today; CLI place-on-platform ignores rotation and scale.</t>
  </si>
  <si>
    <t xml:space="preserve">Three engines put new models on beds (import ring search, paste ring search with overflow, plugin shelfPack), plus the duplicate preview layout in page.tsx and arrange/. Clipboard itself stays UI.</t>
  </si>
  <si>
    <t xml:space="preserve">• findFreeSpots({ footprints, frames, blockers, startPlateId, allowNewPlates }) → { positions, newPlateCount }
• layoutDuplicates({ source, count, spacing, frames, blockers }) → { transforms, newPlateCount }  (from page.tsx 9500–9790)
• deriveModelFrom({ source, id, name, transform }) → model  (one rule for which fields copies keep)
• arrange: make computeHighPrecisionArrangeUpdates callers plate-aware (CLI packs everything onto plate 1)</t>
  </si>
  <si>
    <t xml:space="preserve">plates, bounds-seat, decision D6</t>
  </si>
  <si>
    <t xml:space="preserve">Big payoff (CLI duplicate/add-model/arrange parity) but needs the plate rules and one placement decision first.</t>
  </si>
  <si>
    <t xml:space="preserve">updateModelTransform and updateModelTransforms both do lock check → link-peer propagation → support move → plate restamp → follow plate, with drift between them. page.tsx picks targets and lift; the manager applies.</t>
  </si>
  <si>
    <t xml:space="preserve">• planModelTransforms({ models, updates: {modelId, transform}[], lockedPlateIds, frames }) → { models, supportDeltas, refused, landedPlateId }
• centerOnPlate({ models, modelIds, frame, originMode }) → updates
• linkPeerUpdates({ models, leaderId, before, after }) → updates (today written 4 times)</t>
  </si>
  <si>
    <t xml:space="preserve">High (undo core, support geometry)</t>
  </si>
  <si>
    <t xml:space="preserve">plates, model-fields, decisions D1/D2/D3</t>
  </si>
  <si>
    <t xml:space="preserve">The heart of CLI parity for transform-model/center-xy/place-on-platform, but touches undo and supports. Do it after the pattern is proven.</t>
  </si>
  <si>
    <t xml:space="preserve">Opening a VOXL changes it (name sanitising, import-default support rules, id remap, printer relayout, off-bed prompt, repair). The CLI's `scene load` just parses.</t>
  </si>
  <si>
    <t xml:space="preserve">• planVoxlOpen({ doc, existingIds, printer, ordering, prefs }) → { models, supports, plates, idRemap, needs: ['printer-mismatch'|'off-bed'|...] }
• planMeshImport({ entries, frames, activePlateId, blockers }) → placements
• sanitizeImportedModelName / remapModelIdsInPayload (already module-level, just move)</t>
  </si>
  <si>
    <t xml:space="preserve">High (file formats)</t>
  </si>
  <si>
    <t xml:space="preserve">plates, placement, save, decisions D7/D8</t>
  </si>
  <si>
    <t xml:space="preserve">Large and prompt-heavy; needs the plan/apply decision first.</t>
  </si>
  <si>
    <t xml:space="preserve">splitModelIntoParts, split/merge supports, split-import-group: real rules over triangle soups wrapped in THREE geometry, BVH and flattening-plane work.</t>
  </si>
  <si>
    <t xml:space="preserve">• splitByClassification({ positions: Float32Array, classification, transform }) → parts (data only)
• partTransforms({ source, partCentres }) → transforms  (fix the Euler-order suspect first)</t>
  </si>
  <si>
    <t xml:space="preserve">High (orientation, support geometry)</t>
  </si>
  <si>
    <t xml:space="preserve">transform, decision D1</t>
  </si>
  <si>
    <t xml:space="preserve">Last: depends on the THREE ruling and on transform maths being pinned.</t>
  </si>
  <si>
    <t xml:space="preserve">Viewer display settings (~35 keys), prompts and reports, recent files, native repair/remesh, geometry queues, selection state. Some deserve tidying (a separate useViewerSettings hook) but are not scene rules.</t>
  </si>
  <si>
    <t xml:space="preserve">• (optional refactor) useViewerSettings hook — shrinks the return object by ~1/4
• (optional) selection reducers as pure helpers, never as rule inputs (ADR rule 3)
• (optional) repair/remesh behind a native-geometry service, not a pure module</t>
  </si>
  <si>
    <t xml:space="preserve">decisions D4/D17/D19</t>
  </si>
  <si>
    <t xml:space="preserve">Listed so the map is complete and nobody spends a PR extracting UI plumbing.</t>
  </si>
  <si>
    <t xml:space="preserve">Question</t>
  </si>
  <si>
    <t xml:space="preserve">Options</t>
  </si>
  <si>
    <t xml:space="preserve">Why it matters</t>
  </si>
  <si>
    <t xml:space="preserve">Groups affected</t>
  </si>
  <si>
    <t xml:space="preserve">Ender's answer</t>
  </si>
  <si>
    <t xml:space="preserve">D1</t>
  </si>
  <si>
    <t xml:space="preserve">Does THREE count as impure for maths-only use?</t>
  </si>
  <si>
    <t xml:space="preserve">(a) Allow three's maths classes (Vector3, Euler, Quaternion, Matrix4, Box3) in pure modules — status quo in selection*.ts and arrange/. (b) Plain {x,y,z} types only, convert at the edges. (c) Allow maths classes, ban BufferGeometry/Object3D.</t>
  </si>
  <si>
    <t xml:space="preserve">ADR says 'no THREE', but highPrecisionArrange (the ADR's own success example) and the selection helpers import it. Every transform/placement extraction depends on this.</t>
  </si>
  <si>
    <t xml:space="preserve">transform, placement, geometry-split</t>
  </si>
  <si>
    <t xml:space="preserve">D2</t>
  </si>
  <si>
    <t xml:space="preserve">What does a transform carry with it?</t>
  </si>
  <si>
    <t xml:space="preserve">(a) One planModelTransforms returns model updates + support deltas + link-peer updates + plateId restamp; CLI transform-model then moves supports and peers too. (b) CLI stays a raw setter, difference documented. (c) Both, via a --raw flag.</t>
  </si>
  <si>
    <t xml:space="preserve">Today supports move by side effect inside the hook; CLI moves nothing but the model.</t>
  </si>
  <si>
    <t xml:space="preserve">D3</t>
  </si>
  <si>
    <t xml:space="preserve">Are plate locks core or UI?</t>
  </si>
  <si>
    <t xml:space="preserve">(a) Session UI state: guards stay in the manager, CLI ignores locks. (b) Rules take lockedPlateIds and return refused ids, so the CLI or an agent can honour them.</t>
  </si>
  <si>
    <t xml:space="preserve">Lock is per-session, not saved. Checked in the manager and again in page.tsx handleTransformStart; raw setters bypass it.</t>
  </si>
  <si>
    <t xml:space="preserve">plates, transform, placement</t>
  </si>
  <si>
    <t xml:space="preserve">D4</t>
  </si>
  <si>
    <t xml:space="preserve">Is selection part of the core?</t>
  </si>
  <si>
    <t xml:space="preserve">(a) Selection never enters a rule (ADR rule 3); reducers may be pure helpers but rules take ids and don't return a next selection. (b) Rules also return the next selection (as applyModelGrouping does today).</t>
  </si>
  <si>
    <t xml:space="preserve">~30 page.tsx rules and mergeSupports/copySelectedModels read the selection implicitly.</t>
  </si>
  <si>
    <t xml:space="preserve">all</t>
  </si>
  <si>
    <t xml:space="preserve">D5</t>
  </si>
  <si>
    <t xml:space="preserve">Where do groups live in the file?</t>
  </si>
  <si>
    <t xml:space="preserve">(a) groupId/groupName on VoxlModelEntry, like linkGroupId; CLI moves to model fields. (b) App reads/writes extensions.groups. (c) Groups are UI-only; drop CLI group commands.</t>
  </si>
  <si>
    <t xml:space="preserve">App groups are lost on every save; CLI groups are invisible to the app and stripped by an app save.</t>
  </si>
  <si>
    <t xml:space="preserve">grouping, duplicate</t>
  </si>
  <si>
    <t xml:space="preserve">D6</t>
  </si>
  <si>
    <t xml:space="preserve">One placement engine or several?</t>
  </si>
  <si>
    <t xml:space="preserve">(a) One findFreeSpots for import, paste and CLI (ring grid + overflow), extracted as-is. (b) Rebase on arrange/plateFreeSpace + shelfPack (better packing, positions change). (c) Extract each as-is for parity, merge later.</t>
  </si>
  <si>
    <t xml:space="preserve">Import, paste and plugin import use three engines; overlap tests disagree on touching edges.</t>
  </si>
  <si>
    <t xml:space="preserve">D7</t>
  </si>
  <si>
    <t xml:space="preserve">How do imports handle user prompts when headless?</t>
  </si>
  <si>
    <t xml:space="preserve">(a) Split into plan (returns needs[]) and apply (takes answers). (b) A policy object { placement, hollowing, repair } — app passes resolvers, CLI passes fixed answers.</t>
  </si>
  <si>
    <t xml:space="preserve">Headless defaults today: placement 'auto_arrange' (contradicts the 'preserve authored placement' comment), hollowing 'bake', repair 'repair'.</t>
  </si>
  <si>
    <t xml:space="preserve">D8</t>
  </si>
  <si>
    <t xml:space="preserve">Should opening a VOXL change it, and does open merge or replace?</t>
  </si>
  <si>
    <t xml:space="preserve">Content: (a) open exactly as saved, prefs only for mesh imports; (b) keep today's normalisation and make CLI load apply the same pure step; (c) explicit 'normalize on open' option. Merge: (a) open replaces and clears history, separate import merges; (b) keep merge and push one undo entry.</t>
  </si>
  <si>
    <t xml:space="preserve">Open strips dotted name suffixes, applies import-default support/raft prefs, remaps colliding ids, re-lays plates, ignores the saved plate ordering, and pushes no undo.</t>
  </si>
  <si>
    <t xml:space="preserve">import, save</t>
  </si>
  <si>
    <t xml:space="preserve">D9</t>
  </si>
  <si>
    <t xml:space="preserve">Is the saved model set 'all' or 'visible'?</t>
  </si>
  <si>
    <t xml:space="preserve">(a) All, always — fix Ctrl+S to match autosave and CLI. (b) Visible only, everywhere. (c) Explicit scope parameter on buildVoxlSaveInput.</t>
  </si>
  <si>
    <t xml:space="preserve">Ctrl+S saves visible models only (page.tsx ~4561, code checked); autosave and CLI save all.</t>
  </si>
  <si>
    <t xml:space="preserve">save</t>
  </si>
  <si>
    <t xml:space="preserve">D10</t>
  </si>
  <si>
    <t xml:space="preserve">Who owns plate ordering and origin mode?</t>
  </si>
  <si>
    <t xml:space="preserve">(a) Document state: saved, undoable, restored by snapshots. (b) Settings, but recorded in snapshots and files the way the printer is. (c) As today, documented as lossy.</t>
  </si>
  <si>
    <t xml:space="preserve">ADR-0045's own open question (originMode not in VOXL, CLI assumes centre). Ordering is a global setting written to each file; changing it moves models with no undo; open ignores the saved value.</t>
  </si>
  <si>
    <t xml:space="preserve">plates, import, bounds-seat</t>
  </si>
  <si>
    <t xml:space="preserve">D11</t>
  </si>
  <si>
    <t xml:space="preserve">One out-of-bounds rule, and should `scene slice` drop models outside the volume?</t>
  </si>
  <si>
    <t xml:space="preserve">(a) One modelsOutsideVolume with flags (overlap vs containment, margins, supports). (b) Two named functions ('for slicing', 'for warning') in one module. Plus yes/no on CLI dropping disjoint models.</t>
  </si>
  <si>
    <t xml:space="preserve">Four copies today; the app drops disjoint models from a slice, the CLI doesn't.</t>
  </si>
  <si>
    <t xml:space="preserve">bounds-seat</t>
  </si>
  <si>
    <t xml:space="preserve">D12</t>
  </si>
  <si>
    <t xml:space="preserve">Seat Z, Auto Lift and manualZMoveOverride as inputs?</t>
  </si>
  <si>
    <t xml:space="preserve">(a) Pass liftDistance/autoLift/manualZMoveOverride explicitly; CLI place-on-platform gets --lift. (b) Persist manualZMoveOverride (and lift settings?) in VOXL. Also: unify 0 / 0.001 / lift distance targets?</t>
  </si>
  <si>
    <t xml:space="preserve">manualZMoveOverride changes what lift/drop does but isn't saved; loaded models start with it true.</t>
  </si>
  <si>
    <t xml:space="preserve">bounds-seat, transform</t>
  </si>
  <si>
    <t xml:space="preserve">D13</t>
  </si>
  <si>
    <t xml:space="preserve">Who owns support removal for a model?</t>
  </si>
  <si>
    <t xml:space="preserve">(a) Split deleteSupportsForModel into pure compute + apply; CLI runs the compute on doc.supports via an adapter. (b) Keep the CLI's hand filter and add the missing types.</t>
  </si>
  <si>
    <t xml:space="preserve">Only (a) gives a parity test.</t>
  </si>
  <si>
    <t xml:space="preserve">delete</t>
  </si>
  <si>
    <t xml:space="preserve">D14</t>
  </si>
  <si>
    <t xml:space="preserve">Which fields does a derived model keep?</t>
  </si>
  <si>
    <t xml:space="preserve">(a) One deriveModelFrom rule for split, merge, paste and duplicate. (b) Per operation, documented.</t>
  </si>
  <si>
    <t xml:space="preserve">Split/merge/paste drop plateId, group, link group and modifiers inconsistently; CLI duplicate copies fields the app drops.</t>
  </si>
  <si>
    <t xml:space="preserve">placement, geometry-split</t>
  </si>
  <si>
    <t xml:space="preserve">D15</t>
  </si>
  <si>
    <t xml:space="preserve">Should transform history become a pure 'edit session'?</t>
  </si>
  <si>
    <t xml:space="preserve">(a) Leave the pending-history refs/RAF machinery in page.tsx (handoff doc's advice). (b) Fold into useTransformManager. (c) A pure begin/update/commit reducer that produces the history payload, so CLI/agents get identical labels.</t>
  </si>
  <si>
    <t xml:space="preserve">Only (c) lets non-GUI clients produce the same history labels; it is also the most work.</t>
  </si>
  <si>
    <t xml:space="preserve">transform, foundation</t>
  </si>
  <si>
    <t xml:space="preserve">D16</t>
  </si>
  <si>
    <t xml:space="preserve">Which undo gaps are bugs vs by design?</t>
  </si>
  <si>
    <t xml:space="preserve">Per item: mesh import, VOXL open, support-JSON import, undoRepairsInPlace, scan-for-supports, plate-ordering change, plate rename. Options each: (a) push history, (b) document as not undoable.</t>
  </si>
  <si>
    <t xml:space="preserve">None of these push history today.</t>
  </si>
  <si>
    <t xml:space="preserve">D17</t>
  </si>
  <si>
    <t xml:space="preserve">Move viewer settings out of the manager now?</t>
  </si>
  <si>
    <t xml:space="preserve">(a) Yes, a useViewerSettings hook (low risk, ~35 return keys). (b) Later.</t>
  </si>
  <si>
    <t xml:space="preserve">Not scene rules; they make the manager's surface look bigger than the scene core is.</t>
  </si>
  <si>
    <t xml:space="preserve">stays-in-app</t>
  </si>
  <si>
    <t xml:space="preserve">D18</t>
  </si>
  <si>
    <t xml:space="preserve">Delete dead API before extracting?</t>
  </si>
  <si>
    <t xml:space="preserve">(a) Remove: addModelFromGeometry, finalizeModelGeometryPostProcessing, deferPostProcessing, cutModel, pasteModel, modelPlateFrame, setMeshVisible, handleLoadSupportJson, two-step plugin import stubs, onImportSceneChange, importPluginSceneFile (external). (b) Keep for plugins/tests.</t>
  </si>
  <si>
    <t xml:space="preserve">Each has no caller in src/ (moveModelsToPlate is test-only). Removing first shrinks what has to be mapped and tested.</t>
  </si>
  <si>
    <t xml:space="preserve">D19</t>
  </si>
  <si>
    <t xml:space="preserve">Repair and remesh: in scope?</t>
  </si>
  <si>
    <t xml:space="preserve">(a) Out of ADR-0045 scope — native I/O behind a service. (b) Extract the small rules (which report needs attention, auto-repair gate) only.</t>
  </si>
  <si>
    <t xml:space="preserve">Four functions of native/Tauri work with almost no scene rule in them.</t>
  </si>
  <si>
    <t xml:space="preserve">D20</t>
  </si>
  <si>
    <t xml:space="preserve">What does 'center' mean on plate 2?</t>
  </si>
  <si>
    <t xml:space="preserve">(a) Centre of the plate the model stands on (cascade offset included), app and CLI. (b) Origin plate, as today.</t>
  </si>
  <si>
    <t xml:space="preserve">App centres on plate 1 even for a model on plate 2 (suspected); CLI center-xy sets 0,0 regardless of origin mode.</t>
  </si>
  <si>
    <t xml:space="preserve">D21</t>
  </si>
  <si>
    <t xml:space="preserve">Bring plateLayout.ts fully in line with ADR rule 4?</t>
  </si>
  <si>
    <t xml:space="preserve">(a) Change resolveModelPlateId(model, frames) to resolveModelPlateId({ model, frames }) now, while it has few callers. (b) Leave it.</t>
  </si>
  <si>
    <t xml:space="preserve">The worked example takes two positional arguments.</t>
  </si>
  <si>
    <t xml:space="preserve">Suspected bug</t>
  </si>
  <si>
    <t xml:space="preserve">Where</t>
  </si>
  <si>
    <t xml:space="preserve">How sure</t>
  </si>
  <si>
    <t xml:space="preserve">Impact</t>
  </si>
  <si>
    <t xml:space="preserve">Test that would confirm it</t>
  </si>
  <si>
    <t xml:space="preserve">B1</t>
  </si>
  <si>
    <t xml:space="preserve">CLI `scene duplicate` likely saves copies with no mesh</t>
  </si>
  <si>
    <t xml:space="preserve">dragonfruit-ts-cli.ts:85-90, 352-384</t>
  </si>
  <si>
    <t xml:space="preserve">Code checked: toBuildInput looks up mesh bytes by model id; the copy's new id has none. Not run.</t>
  </si>
  <si>
    <t xml:space="preserve">Round-trip test: duplicate an embedded model, save, reload, assert geometry present.</t>
  </si>
  <si>
    <t xml:space="preserve">B2</t>
  </si>
  <si>
    <t xml:space="preserve">CLI save drops ORIG (full-res original) chunks and the sha map</t>
  </si>
  <si>
    <t xml:space="preserve">Agent-reported (two agents agree); not run.</t>
  </si>
  <si>
    <t xml:space="preserve">Round-trip test on an app-saved scene with originals and duplicate meshes.</t>
  </si>
  <si>
    <t xml:space="preserve">B3</t>
  </si>
  <si>
    <t xml:space="preserve">Ctrl+S saves only visible models (and their supports)</t>
  </si>
  <si>
    <t xml:space="preserve">page.tsx:4561-4562</t>
  </si>
  <si>
    <t xml:space="preserve">Code checked.</t>
  </si>
  <si>
    <t xml:space="preserve">Hide a model, Ctrl+S, reload: is it gone? Decide D9 first.</t>
  </si>
  <si>
    <t xml:space="preserve">B4</t>
  </si>
  <si>
    <t xml:space="preserve">splitModelIntoParts uses a different Euler order from the renderer</t>
  </si>
  <si>
    <t xml:space="preserve">useSceneCollectionManager.ts:3785 vs StlMesh.tsx:583</t>
  </si>
  <si>
    <t xml:space="preserve">Code checked: new THREE.Euler(x,y,z) vs quaternionFromGlobalEuler. Agent computed 4.1 mm offset at (0.5,0.7,0.3).</t>
  </si>
  <si>
    <t xml:space="preserve">Split a model rotated about two axes; part world positions must match the source.</t>
  </si>
  <si>
    <t xml:space="preserve">B5</t>
  </si>
  <si>
    <t xml:space="preserve">addPlates shifts models but not their supports</t>
  </si>
  <si>
    <t xml:space="preserve">Code checked: no shiftSupportsWithModels call (addPlate has two).</t>
  </si>
  <si>
    <t xml:space="preserve">Dynamic ordering, supported model on plate 1, add beds via arrange/paste; supports must follow.</t>
  </si>
  <si>
    <t xml:space="preserve">B6</t>
  </si>
  <si>
    <t xml:space="preserve">App groups are never saved; CLI groups are invisible to the app</t>
  </si>
  <si>
    <t xml:space="preserve">VoxlModelEntry / extensions.groups</t>
  </si>
  <si>
    <t xml:space="preserve">Code checked: no groupId/groupName in src/features/scene/voxl/.</t>
  </si>
  <si>
    <t xml:space="preserve">Group in app, save, reload.</t>
  </si>
  <si>
    <t xml:space="preserve">B7</t>
  </si>
  <si>
    <t xml:space="preserve">CLI remove-model orphans knots, twigs, sticks, stumps, kickstands</t>
  </si>
  <si>
    <t xml:space="preserve">dragonfruit-ts-cli.ts:269-297</t>
  </si>
  <si>
    <t xml:space="preserve">Code checked: filters roots, trunks, branches, leaves, braces only.</t>
  </si>
  <si>
    <t xml:space="preserve">Parity test vs deleteModels on a scene with every support type.</t>
  </si>
  <si>
    <t xml:space="preserve">B8</t>
  </si>
  <si>
    <t xml:space="preserve">CLI place-on-platform ignores rotation and scale; CLI transform maths subtracts bbox centre only when rotated/scaled</t>
  </si>
  <si>
    <t xml:space="preserve">dragonfruit-ts-cli.ts:1029-1066, 1309-1355</t>
  </si>
  <si>
    <t xml:space="preserve">Code checked for center-xy (sets x=y=0); place-on-platform agent-reported with line refs.</t>
  </si>
  <si>
    <t xml:space="preserve">Off-centre mesh, rotated vs unrotated: app world min Z vs CLI.</t>
  </si>
  <si>
    <t xml:space="preserve">B9</t>
  </si>
  <si>
    <t xml:space="preserve">Blocker reset always empties the list (`resolutionChanged ? [] : []`)</t>
  </si>
  <si>
    <t xml:space="preserve">page.tsx:10075</t>
  </si>
  <si>
    <t xml:space="preserve">Probably intended to keep blockers when resolution is unchanged; ask.</t>
  </si>
  <si>
    <t xml:space="preserve">B10</t>
  </si>
  <si>
    <t xml:space="preserve">Center sends a model on plate 2 to plate 1's centre</t>
  </si>
  <si>
    <t xml:space="preserve">Agent-reported, Med confidence.</t>
  </si>
  <si>
    <t xml:space="preserve">Multi-plate scene, centre a plate-2 model.</t>
  </si>
  <si>
    <t xml:space="preserve">B11</t>
  </si>
  <si>
    <t xml:space="preserve">Auto Orient apply reads the active model's transform for any modelId</t>
  </si>
  <si>
    <t xml:space="preserve">Agent-reported.</t>
  </si>
  <si>
    <t xml:space="preserve">Harmless while the panel passes the active id.</t>
  </si>
  <si>
    <t xml:space="preserve">B12</t>
  </si>
  <si>
    <t xml:space="preserve">New Scene keeps extra plates; select-all + Delete removes them</t>
  </si>
  <si>
    <t xml:space="preserve">Ask which is intended.</t>
  </si>
  <si>
    <t xml:space="preserve">B13</t>
  </si>
  <si>
    <t xml:space="preserve">Mesh-repair confirm prompt isn't released on unmount (import can hang)</t>
  </si>
  <si>
    <t xml:space="preserve">DOM test: unmount with a pending repair prompt.</t>
  </si>
  <si>
    <t xml:space="preserve">B14</t>
  </si>
  <si>
    <t xml:space="preserve">Undoing a delete may not restore hollowing/hole-punch modifiers</t>
  </si>
  <si>
    <t xml:space="preserve">Agent suspicion; snapshot has no modifierRecord.</t>
  </si>
  <si>
    <t xml:space="preserve">DOM test: hollow, delete, undo.</t>
  </si>
  <si>
    <t xml:space="preserve">B15</t>
  </si>
  <si>
    <t xml:space="preserve">Plate-ordering change moves models with no undo; undo across it restores old-layout positions</t>
  </si>
  <si>
    <t xml:space="preserve">Change ordering, undo past it.</t>
  </si>
  <si>
    <t xml:space="preserve">B16</t>
  </si>
  <si>
    <t xml:space="preserve">selectModel(id,'toggle') on a selected model still makes it active</t>
  </si>
  <si>
    <t xml:space="preserve">Unit test on the reducer once extracted.</t>
  </si>
  <si>
    <t xml:space="preserve">B17</t>
  </si>
  <si>
    <t xml:space="preserve">Imported models stamped with the active plate's id even when placed on another bed</t>
  </si>
  <si>
    <t xml:space="preserve">Agent-reported, Med.</t>
  </si>
  <si>
    <t xml:space="preserve">Full active plate, import; check saved plateId.</t>
  </si>
  <si>
    <t xml:space="preserve">B18</t>
  </si>
  <si>
    <t xml:space="preserve">Recent-files writes storage inside a React state updater (can run twice)</t>
  </si>
  <si>
    <t xml:space="preserve">B19</t>
  </si>
  <si>
    <t xml:space="preserve">Ctrl+S callback dependency list omits plates/printer/ordering (possible stale save)</t>
  </si>
  <si>
    <t xml:space="preserve">page.tsx:4654</t>
  </si>
  <si>
    <t xml:space="preserve">Agent-reported; React Compiler may mask.</t>
  </si>
  <si>
    <t xml:space="preserve">Change plates then Ctrl+S immediately.</t>
  </si>
  <si>
    <t xml:space="preserve">B20</t>
  </si>
  <si>
    <t xml:space="preserve">CLI `scene slice` assumes centre origin and ignores meta.printer</t>
  </si>
  <si>
    <t xml:space="preserve">dragonfruit-ts-cli.ts:1410-1439</t>
  </si>
  <si>
    <t xml:space="preserve">Code checked (comment says so). Matches ADR open question.</t>
  </si>
  <si>
    <t xml:space="preserve">front_left scene: app vs CLI frames.</t>
  </si>
  <si>
    <t xml:space="preserve">Pin this before extracting</t>
  </si>
  <si>
    <t xml:space="preserve">App-written multi-plate scene with duplicate meshes, originals, every support type, link groups → CLI load → transform-model no-op → save → deep compare (fields + chunks).</t>
  </si>
  <si>
    <t xml:space="preserve">Snapshot registry: eviction at 200 pairs / ~300 MB, evicted key → entry discarded (characterise as-is).</t>
  </si>
  <si>
    <t xml:space="preserve">computePlateFrames vs every hand-computed rect site (defaultImportCenterXY, activePlateRect, plateOffsetFor, addPlates, moveModelsToPlate, seatModelOnNewBedIfNeeded, VOXL load) for both origin modes and both orderings.</t>
  </si>
  <si>
    <t xml:space="preserve">modelsShiftedForRelaidPlates golden cases: printer switch, ordering switch, add/remove plate; supports shifted with models (pins B5).</t>
  </si>
  <si>
    <t xml:space="preserve">removePlate refuses first plate; dropPlates currently allows it (pin as-is).</t>
  </si>
  <si>
    <t xml:space="preserve">Each setter: input models + ids → output models; history label unchanged (DOM test reads the label).</t>
  </si>
  <si>
    <t xml:space="preserve">Support designation: check:scene-slice case where a designated model changes the sliced output.</t>
  </si>
  <si>
    <t xml:space="preserve">Replace voxlSupportDesignation.test.ts's inline copy with a call to the real function.</t>
  </si>
  <si>
    <t xml:space="preserve">After D5: group in app → save → CLI list-groups shows it, and the reverse.</t>
  </si>
  <si>
    <t xml:space="preserve">modelGroupingHistory existing tests stay green.</t>
  </si>
  <si>
    <t xml:space="preserve">Four savers (autosave, Ctrl+S, export panel, CLI) given the same scene produce the same BuildVoxlDocumentInput, except for documented scope differences.</t>
  </si>
  <si>
    <t xml:space="preserve">Hidden model + Ctrl+S (pins B3).</t>
  </si>
  <si>
    <t xml:space="preserve">Scene with every support type, a 2-member link group, 2 plates: delete one model → app result == CLI result (supports, link groups, plates).</t>
  </si>
  <si>
    <t xml:space="preserve">Delete last model → plates collapse (app); undo restores modifiers? (pins B14).</t>
  </si>
  <si>
    <t xml:space="preserve">One fixture per out-of-bounds copy (resin estimate, sliceable, warning, SceneCanvas) with models inside, overlapping, outside; record each copy's answer today.</t>
  </si>
  <si>
    <t xml:space="preserve">Seat Z for unrotated/rotated/scaled off-centre mesh: selectionLiftDrop vs performAutoSnap vs SceneCanvas vs CLI place-on-platform (pins B8).</t>
  </si>
  <si>
    <t xml:space="preserve">Import free-spot, paste, plugin import and duplicate preview: golden positions for fixed footprints/blockers on 1 and 2 plates, including overflow to a new bed.</t>
  </si>
  <si>
    <t xml:space="preserve">Touching-edge overlap behaviour of intersectsRect vs plateFreeSpace.rectsOverlap.</t>
  </si>
  <si>
    <t xml:space="preserve">Derived-model field lists for split, merge, paste, duplicate (what's kept today).</t>
  </si>
  <si>
    <t xml:space="preserve">updateModelTransform vs updateModelTransforms on the same input: link peers, supports, plateId, landedPlateId, lock refusal — record the drift.</t>
  </si>
  <si>
    <t xml:space="preserve">Link-peer propagation: replace linkGroupTransformPropagation.test.ts's own copy with the manager path.</t>
  </si>
  <si>
    <t xml:space="preserve">center on plate 2 (pins B10), transform tolerance epsilons.</t>
  </si>
  <si>
    <t xml:space="preserve">Open an app-saved VOXL: names, supports (prefs applied), ids on collision, plate shift on printer mismatch, ordering adoption — snapshot the app's result.</t>
  </si>
  <si>
    <t xml:space="preserve">Headless prompt defaults (placement/hollowing/repair).</t>
  </si>
  <si>
    <t xml:space="preserve">Split a model rotated about two axes: part world positions (pins B4).</t>
  </si>
  <si>
    <t xml:space="preserve">Split/merge supports round trip keeps triangle count and classification.</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</si>
</sst>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color rgb="FFFFFFFF"/>
      <name val="Arial"/>
      <family val="0"/>
      <charset val="1"/>
    </font>
  </fonts>
  <fills count="6">
    <fill>
      <patternFill patternType="none"/>
    </fill>
    <fill>
      <patternFill patternType="gray125"/>
    </fill>
    <fill>
      <patternFill patternType="solid">
        <fgColor rgb="FF1F3A5F"/>
        <bgColor rgb="FF333333"/>
      </patternFill>
    </fill>
    <fill>
      <patternFill patternType="solid">
        <fgColor rgb="FFF4CCCC"/>
        <bgColor rgb="FFD9EAD3"/>
      </patternFill>
    </fill>
    <fill>
      <patternFill patternType="solid">
        <fgColor rgb="FFFFF2CC"/>
        <bgColor rgb="FFFFFFFF"/>
      </patternFill>
    </fill>
    <fill>
      <patternFill patternType="solid">
        <fgColor rgb="FFD9EAD3"/>
        <bgColor rgb="FFFFF2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5" fillId="4" borderId="0" xfId="0" applyFont="true" applyBorder="false" applyAlignment="true" applyProtection="false">
      <alignment horizontal="general" vertical="top" textRotation="0" wrapText="true" indent="0" shrinkToFit="false"/>
      <protection locked="true" hidden="false"/>
    </xf>
    <xf numFmtId="164" fontId="5" fillId="5"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D9EAD3"/>
          <bgColor rgb="FF000000"/>
        </patternFill>
      </fill>
    </dxf>
    <dxf>
      <fill>
        <patternFill patternType="solid">
          <fgColor rgb="FFF4CCCC"/>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4CCCC"/>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ables/table1.xml><?xml version="1.0" encoding="utf-8"?>
<table xmlns="http://schemas.openxmlformats.org/spreadsheetml/2006/main" id="1" name="Bugs" displayName="Bugs" ref="A1:F21" headerRowCount="1" totalsRowCount="0" totalsRowShown="0">
  <autoFilter ref="A1:F21"/>
  <tableColumns count="6">
    <tableColumn id="1" name="ID"/>
    <tableColumn id="2" name="Suspected bug"/>
    <tableColumn id="3" name="Where"/>
    <tableColumn id="4" name="How sure"/>
    <tableColumn id="5" name="Impact"/>
    <tableColumn id="6" name="Test that would confirm it"/>
  </tableColumns>
</table>
</file>

<file path=xl/tables/table2.xml><?xml version="1.0" encoding="utf-8"?>
<table xmlns="http://schemas.openxmlformats.org/spreadsheetml/2006/main" id="2" name="CliCommands" displayName="CliCommands" ref="A1:I30" headerRowCount="1" totalsRowCount="0" totalsRowShown="0">
  <autoFilter ref="A1:I30"/>
  <tableColumns count="9">
    <tableColumn id="1" name="Command"/>
    <tableColumn id="2" name="Location"/>
    <tableColumn id="3" name="What it does"/>
    <tableColumn id="4" name="Shared modules it calls"/>
    <tableColumn id="5" name="Rules restated by hand"/>
    <tableColumn id="6" name="GUI equivalents"/>
    <tableColumn id="7" name="Differences from the app"/>
    <tableColumn id="8" name="Tests"/>
    <tableColumn id="9" name="Notes"/>
  </tableColumns>
</table>
</file>

<file path=xl/tables/table3.xml><?xml version="1.0" encoding="utf-8"?>
<table xmlns="http://schemas.openxmlformats.org/spreadsheetml/2006/main" id="3" name="Decisions" displayName="Decisions" ref="A1:F22" headerRowCount="1" totalsRowCount="0" totalsRowShown="0">
  <autoFilter ref="A1:F22"/>
  <tableColumns count="6">
    <tableColumn id="1" name="ID"/>
    <tableColumn id="2" name="Question"/>
    <tableColumn id="3" name="Options"/>
    <tableColumn id="4" name="Why it matters"/>
    <tableColumn id="5" name="Groups affected"/>
    <tableColumn id="6" name="Ender's answer"/>
  </tableColumns>
</table>
</file>

<file path=xl/tables/table4.xml><?xml version="1.0" encoding="utf-8"?>
<table xmlns="http://schemas.openxmlformats.org/spreadsheetml/2006/main" id="4" name="Groups" displayName="Groups" ref="A1:K13" headerRowCount="1" totalsRowCount="0" totalsRowShown="0">
  <autoFilter ref="A1:K13"/>
  <tableColumns count="11">
    <tableColumn id="1" name="Order"/>
    <tableColumn id="2" name="Group"/>
    <tableColumn id="3" name="Purpose"/>
    <tableColumn id="4" name="Draft pure functions"/>
    <tableColumn id="5" name="Effort"/>
    <tableColumn id="6" name="Risk"/>
    <tableColumn id="7" name="Depends on"/>
    <tableColumn id="8" name="Why this position"/>
    <tableColumn id="9" name="Ops mapped"/>
    <tableColumn id="10" name="…Mostly pure"/>
    <tableColumn id="11" name="…implicit target"/>
  </tableColumns>
</table>
</file>

<file path=xl/tables/table5.xml><?xml version="1.0" encoding="utf-8"?>
<table xmlns="http://schemas.openxmlformats.org/spreadsheetml/2006/main" id="5" name="Operations" displayName="Operations" ref="A1:Y219" headerRowCount="1" totalsRowCount="0" totalsRowShown="0">
  <autoFilter ref="A1:Y219"/>
  <tableColumns count="25">
    <tableColumn id="1" name="ID"/>
    <tableColumn id="2" name="Name in code"/>
    <tableColumn id="3" name="Operation"/>
    <tableColumn id="4" name="Returned"/>
    <tableColumn id="5" name="Command group"/>
    <tableColumn id="6" name="Location"/>
    <tableColumn id="7" name="State read / written"/>
    <tableColumn id="8" name="Implicit target"/>
    <tableColumn id="9" name="Pure vs React"/>
    <tableColumn id="10" name="Pure vs React (detail)"/>
    <tableColumn id="11" name="Existing pure helper"/>
    <tableColumn id="12" name="CLI status"/>
    <tableColumn id="13" name="CLI today"/>
    <tableColumn id="14" name="Undo"/>
    <tableColumn id="15" name="Callers"/>
    <tableColumn id="16" name="Effort"/>
    <tableColumn id="17" name="Risk"/>
    <tableColumn id="18" name="Confidence"/>
    <tableColumn id="19" name="Extraction notes"/>
    <tableColumn id="20" name="Draft pure function"/>
    <tableColumn id="21" name="Test first"/>
    <tableColumn id="22" name="Suspected wiring"/>
    <tableColumn id="23" name="Implicit target (detail)"/>
    <tableColumn id="24" name="Agent group"/>
    <tableColumn id="25" name="Chunk"/>
  </tableColumns>
</table>
</file>

<file path=xl/tables/table6.xml><?xml version="1.0" encoding="utf-8"?>
<table xmlns="http://schemas.openxmlformats.org/spreadsheetml/2006/main" id="6" name="PageRules" displayName="PageRules" ref="A1:Y83" headerRowCount="1" totalsRowCount="0" totalsRowShown="0">
  <autoFilter ref="A1:Y83"/>
  <tableColumns count="25">
    <tableColumn id="1" name="ID"/>
    <tableColumn id="2" name="Name in code"/>
    <tableColumn id="3" name="Operation"/>
    <tableColumn id="4" name="Returned"/>
    <tableColumn id="5" name="Command group"/>
    <tableColumn id="6" name="Location"/>
    <tableColumn id="7" name="State read / written"/>
    <tableColumn id="8" name="Implicit target"/>
    <tableColumn id="9" name="Pure vs React"/>
    <tableColumn id="10" name="Pure vs React (detail)"/>
    <tableColumn id="11" name="Existing pure helper"/>
    <tableColumn id="12" name="CLI status"/>
    <tableColumn id="13" name="CLI today"/>
    <tableColumn id="14" name="Undo"/>
    <tableColumn id="15" name="Callers"/>
    <tableColumn id="16" name="Effort"/>
    <tableColumn id="17" name="Risk"/>
    <tableColumn id="18" name="Confidence"/>
    <tableColumn id="19" name="Extraction notes"/>
    <tableColumn id="20" name="Draft pure function"/>
    <tableColumn id="21" name="Test first"/>
    <tableColumn id="22" name="Suspected wiring"/>
    <tableColumn id="23" name="Implicit target (detail)"/>
    <tableColumn id="24" name="Hook functions called"/>
    <tableColumn id="25" name="Agent group"/>
  </tableColumns>
</table>
</file>

<file path=xl/tables/table7.xml><?xml version="1.0" encoding="utf-8"?>
<table xmlns="http://schemas.openxmlformats.org/spreadsheetml/2006/main" id="7" name="Parity" displayName="Parity" ref="A1:F33" headerRowCount="1" totalsRowCount="0" totalsRowShown="0">
  <autoFilter ref="A1:F33"/>
  <tableColumns count="6">
    <tableColumn id="1" name="Area"/>
    <tableColumn id="2" name="GUI operation"/>
    <tableColumn id="3" name="App entry point"/>
    <tableColumn id="4" name="CLI command"/>
    <tableColumn id="5" name="Status"/>
    <tableColumn id="6" name="Gap"/>
  </tableColumns>
</table>
</file>

<file path=xl/tables/table8.xml><?xml version="1.0" encoding="utf-8"?>
<table xmlns="http://schemas.openxmlformats.org/spreadsheetml/2006/main" id="8" name="TestsFirst" displayName="TestsFirst" ref="A1:C27" headerRowCount="1" totalsRowCount="0" totalsRowShown="0">
  <autoFilter ref="A1:C27"/>
  <tableColumns count="3">
    <tableColumn id="1" name="Order"/>
    <tableColumn id="2" name="Group"/>
    <tableColumn id="3" name="Pin this before extracting"/>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5.xml"/>
</Relationships>
</file>

<file path=xl/worksheets/_rels/sheet3.xml.rels><?xml version="1.0" encoding="UTF-8"?>
<Relationships xmlns="http://schemas.openxmlformats.org/package/2006/relationships"><Relationship Id="rId1" Type="http://schemas.openxmlformats.org/officeDocument/2006/relationships/table" Target="../tables/table6.xml"/>
</Relationships>
</file>

<file path=xl/worksheets/_rels/sheet4.xml.rels><?xml version="1.0" encoding="UTF-8"?>
<Relationships xmlns="http://schemas.openxmlformats.org/package/2006/relationships"><Relationship Id="rId1" Type="http://schemas.openxmlformats.org/officeDocument/2006/relationships/table" Target="../tables/table7.xml"/>
</Relationships>
</file>

<file path=xl/worksheets/_rels/sheet5.xml.rels><?xml version="1.0" encoding="UTF-8"?>
<Relationships xmlns="http://schemas.openxmlformats.org/package/2006/relationships"><Relationship Id="rId1" Type="http://schemas.openxmlformats.org/officeDocument/2006/relationships/table" Target="../tables/table2.xml"/>
</Relationships>
</file>

<file path=xl/worksheets/_rels/sheet6.xml.rels><?xml version="1.0" encoding="UTF-8"?>
<Relationships xmlns="http://schemas.openxmlformats.org/package/2006/relationships"><Relationship Id="rId1" Type="http://schemas.openxmlformats.org/officeDocument/2006/relationships/table" Target="../tables/table4.xml"/>
</Relationships>
</file>

<file path=xl/worksheets/_rels/sheet7.xml.rels><?xml version="1.0" encoding="UTF-8"?>
<Relationships xmlns="http://schemas.openxmlformats.org/package/2006/relationships"><Relationship Id="rId1" Type="http://schemas.openxmlformats.org/officeDocument/2006/relationships/table" Target="../tables/table3.xml"/>
</Relationships>
</file>

<file path=xl/worksheets/_rels/sheet8.xml.rels><?xml version="1.0" encoding="UTF-8"?>
<Relationships xmlns="http://schemas.openxmlformats.org/package/2006/relationships"><Relationship Id="rId1" Type="http://schemas.openxmlformats.org/officeDocument/2006/relationships/table" Target="../tables/table1.xml"/>
</Relationships>
</file>

<file path=xl/worksheets/_rels/sheet9.xml.rels><?xml version="1.0" encoding="UTF-8"?>
<Relationships xmlns="http://schemas.openxmlformats.org/package/2006/relationships"><Relationship Id="rId1" Type="http://schemas.openxmlformats.org/officeDocument/2006/relationships/table" Target="../tables/table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 collapsed="false" customWidth="true" hidden="false" outlineLevel="0" max="2" min="2" style="0" width="18"/>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4" customFormat="false" ht="15" hidden="false" customHeight="false" outlineLevel="0" collapsed="false">
      <c r="A4" s="2"/>
    </row>
    <row r="5" customFormat="false" ht="15" hidden="false" customHeight="false" outlineLevel="0" collapsed="false">
      <c r="A5" s="1"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t="s">
        <v>8</v>
      </c>
    </row>
    <row r="11" customFormat="false" ht="15" hidden="false" customHeight="false" outlineLevel="0" collapsed="false">
      <c r="A11" s="2" t="s">
        <v>9</v>
      </c>
    </row>
    <row r="12" customFormat="false" ht="15" hidden="false" customHeight="false" outlineLevel="0" collapsed="false">
      <c r="A12" s="2" t="s">
        <v>10</v>
      </c>
    </row>
    <row r="13" customFormat="false" ht="15" hidden="false" customHeight="false" outlineLevel="0" collapsed="false">
      <c r="A13" s="2" t="s">
        <v>11</v>
      </c>
    </row>
    <row r="14" customFormat="false" ht="15" hidden="false" customHeight="false" outlineLevel="0" collapsed="false">
      <c r="A14" s="2"/>
    </row>
    <row r="15" customFormat="false" ht="15" hidden="false" customHeight="false" outlineLevel="0" collapsed="false">
      <c r="A15" s="1" t="s">
        <v>12</v>
      </c>
    </row>
    <row r="16" customFormat="false" ht="15" hidden="false" customHeight="false" outlineLevel="0" collapsed="false">
      <c r="A16" s="2" t="s">
        <v>13</v>
      </c>
    </row>
    <row r="17" customFormat="false" ht="15" hidden="false" customHeight="false" outlineLevel="0" collapsed="false">
      <c r="A17" s="2" t="s">
        <v>14</v>
      </c>
    </row>
    <row r="18" customFormat="false" ht="15" hidden="false" customHeight="false" outlineLevel="0" collapsed="false">
      <c r="A18" s="2" t="s">
        <v>15</v>
      </c>
    </row>
    <row r="19" customFormat="false" ht="15" hidden="false" customHeight="false" outlineLevel="0" collapsed="false">
      <c r="A19" s="2" t="s">
        <v>16</v>
      </c>
    </row>
    <row r="20" customFormat="false" ht="15" hidden="false" customHeight="false" outlineLevel="0" collapsed="false">
      <c r="A20" s="2" t="s">
        <v>17</v>
      </c>
    </row>
    <row r="21" customFormat="false" ht="15" hidden="false" customHeight="false" outlineLevel="0" collapsed="false">
      <c r="A21" s="2" t="s">
        <v>18</v>
      </c>
    </row>
    <row r="22" customFormat="false" ht="15" hidden="false" customHeight="false" outlineLevel="0" collapsed="false">
      <c r="A22" s="2" t="s">
        <v>19</v>
      </c>
    </row>
    <row r="23" customFormat="false" ht="15" hidden="false" customHeight="false" outlineLevel="0" collapsed="false">
      <c r="A23" s="2"/>
    </row>
    <row r="24" customFormat="false" ht="15" hidden="false" customHeight="false" outlineLevel="0" collapsed="false">
      <c r="A24" s="1" t="s">
        <v>20</v>
      </c>
    </row>
    <row r="25" customFormat="false" ht="15" hidden="false" customHeight="false" outlineLevel="0" collapsed="false">
      <c r="A25" s="2" t="s">
        <v>21</v>
      </c>
    </row>
    <row r="26" customFormat="false" ht="15" hidden="false" customHeight="false" outlineLevel="0" collapsed="false">
      <c r="A26" s="2" t="s">
        <v>22</v>
      </c>
    </row>
    <row r="28" customFormat="false" ht="15" hidden="false" customHeight="false" outlineLevel="0" collapsed="false">
      <c r="A28" s="1" t="s">
        <v>23</v>
      </c>
    </row>
    <row r="29" customFormat="false" ht="15" hidden="false" customHeight="false" outlineLevel="0" collapsed="false">
      <c r="A29" s="2" t="s">
        <v>24</v>
      </c>
      <c r="B29" s="2" t="n">
        <f aca="false">COUNTA(Operations!A:A)-1</f>
        <v>218</v>
      </c>
    </row>
    <row r="30" customFormat="false" ht="15" hidden="false" customHeight="false" outlineLevel="0" collapsed="false">
      <c r="A30" s="2" t="s">
        <v>25</v>
      </c>
      <c r="B30" s="2" t="n">
        <f aca="false">COUNTIF(Operations!D:D,"Yes")</f>
        <v>106</v>
      </c>
    </row>
    <row r="31" customFormat="false" ht="15" hidden="false" customHeight="false" outlineLevel="0" collapsed="false">
      <c r="A31" s="2" t="s">
        <v>26</v>
      </c>
      <c r="B31" s="2" t="n">
        <f aca="false">COUNTIF(Operations!H:H,"Yes")</f>
        <v>85</v>
      </c>
    </row>
    <row r="32" customFormat="false" ht="15" hidden="false" customHeight="false" outlineLevel="0" collapsed="false">
      <c r="A32" s="2" t="s">
        <v>27</v>
      </c>
      <c r="B32" s="2" t="n">
        <f aca="false">COUNTIF(Operations!I:I,"Mostly pure")</f>
        <v>70</v>
      </c>
    </row>
    <row r="33" customFormat="false" ht="15" hidden="false" customHeight="false" outlineLevel="0" collapsed="false">
      <c r="A33" s="2" t="s">
        <v>28</v>
      </c>
      <c r="B33" s="2" t="n">
        <f aca="false">COUNTIF(Operations!L:L,"Full")</f>
        <v>5</v>
      </c>
    </row>
    <row r="34" customFormat="false" ht="15" hidden="false" customHeight="false" outlineLevel="0" collapsed="false">
      <c r="A34" s="2" t="s">
        <v>29</v>
      </c>
      <c r="B34" s="2" t="n">
        <f aca="false">COUNTIF(Operations!L:L,"Partial")</f>
        <v>44</v>
      </c>
    </row>
    <row r="35" customFormat="false" ht="15" hidden="false" customHeight="false" outlineLevel="0" collapsed="false">
      <c r="A35" s="2" t="s">
        <v>30</v>
      </c>
      <c r="B35" s="2" t="n">
        <f aca="false">COUNTIF(Operations!Q:Q,"High")</f>
        <v>34</v>
      </c>
    </row>
    <row r="36" customFormat="false" ht="15" hidden="false" customHeight="false" outlineLevel="0" collapsed="false">
      <c r="A36" s="2" t="s">
        <v>31</v>
      </c>
      <c r="B36" s="2" t="n">
        <f aca="false">COUNTA('page.tsx rules'!A:A)-1</f>
        <v>82</v>
      </c>
    </row>
    <row r="37" customFormat="false" ht="15" hidden="false" customHeight="false" outlineLevel="0" collapsed="false">
      <c r="A37" s="2" t="s">
        <v>32</v>
      </c>
      <c r="B37" s="2" t="str">
        <f aca="false">COUNTIF(Parity!E:E,"Full")&amp;" / "&amp;COUNTIF(Parity!E:E,"Partial")&amp;" / "&amp;COUNTIF(Parity!E:E,"Missing")</f>
        <v>2 / 15 / 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8"/>
    <col collapsed="false" customWidth="true" hidden="false" outlineLevel="0" max="3" min="3" style="0" width="45"/>
    <col collapsed="false" customWidth="true" hidden="false" outlineLevel="0" max="4" min="4" style="0" width="9"/>
    <col collapsed="false" customWidth="true" hidden="false" outlineLevel="0" max="5" min="5" style="0" width="22"/>
    <col collapsed="false" customWidth="true" hidden="false" outlineLevel="0" max="6" min="6" style="0" width="28"/>
    <col collapsed="false" customWidth="true" hidden="false" outlineLevel="0" max="7" min="7" style="0" width="45"/>
    <col collapsed="false" customWidth="true" hidden="false" outlineLevel="0" max="8" min="8" style="0" width="9"/>
    <col collapsed="false" customWidth="true" hidden="false" outlineLevel="0" max="9" min="9" style="0" width="12"/>
    <col collapsed="false" customWidth="true" hidden="false" outlineLevel="0" max="10" min="10" style="0" width="45"/>
    <col collapsed="false" customWidth="true" hidden="false" outlineLevel="0" max="11" min="11" style="0" width="30"/>
    <col collapsed="false" customWidth="true" hidden="false" outlineLevel="0" max="12" min="12" style="0" width="9"/>
    <col collapsed="false" customWidth="true" hidden="false" outlineLevel="0" max="13" min="13" style="0" width="45"/>
    <col collapsed="false" customWidth="true" hidden="false" outlineLevel="0" max="15" min="14" style="0" width="35"/>
    <col collapsed="false" customWidth="true" hidden="false" outlineLevel="0" max="17" min="16" style="0" width="7"/>
    <col collapsed="false" customWidth="true" hidden="false" outlineLevel="0" max="18" min="18" style="0" width="22"/>
    <col collapsed="false" customWidth="true" hidden="false" outlineLevel="0" max="21" min="19" style="0" width="45"/>
    <col collapsed="false" customWidth="true" hidden="false" outlineLevel="0" max="22" min="22" style="0" width="30"/>
    <col collapsed="false" customWidth="true" hidden="false" outlineLevel="0" max="23" min="23" style="0" width="35"/>
    <col collapsed="false" customWidth="true" hidden="false" outlineLevel="0" max="24" min="24" style="0" width="16"/>
    <col collapsed="false" customWidth="true" hidden="false" outlineLevel="0" max="25" min="25" style="0" width="6"/>
  </cols>
  <sheetData>
    <row r="1" customFormat="false" ht="35.05" hidden="false" customHeight="false" outlineLevel="0" collapsed="false">
      <c r="A1" s="3" t="s">
        <v>33</v>
      </c>
      <c r="B1" s="3" t="s">
        <v>34</v>
      </c>
      <c r="C1" s="3" t="s">
        <v>35</v>
      </c>
      <c r="D1" s="3" t="s">
        <v>36</v>
      </c>
      <c r="E1" s="3" t="s">
        <v>37</v>
      </c>
      <c r="F1" s="3" t="s">
        <v>38</v>
      </c>
      <c r="G1" s="3" t="s">
        <v>39</v>
      </c>
      <c r="H1" s="3" t="s">
        <v>40</v>
      </c>
      <c r="I1" s="3" t="s">
        <v>41</v>
      </c>
      <c r="J1" s="3" t="s">
        <v>42</v>
      </c>
      <c r="K1" s="3" t="s">
        <v>43</v>
      </c>
      <c r="L1" s="3" t="s">
        <v>44</v>
      </c>
      <c r="M1" s="3" t="s">
        <v>45</v>
      </c>
      <c r="N1" s="3" t="s">
        <v>46</v>
      </c>
      <c r="O1" s="3" t="s">
        <v>47</v>
      </c>
      <c r="P1" s="3" t="s">
        <v>48</v>
      </c>
      <c r="Q1" s="3" t="s">
        <v>49</v>
      </c>
      <c r="R1" s="3" t="s">
        <v>50</v>
      </c>
      <c r="S1" s="3" t="s">
        <v>51</v>
      </c>
      <c r="T1" s="3" t="s">
        <v>52</v>
      </c>
      <c r="U1" s="3" t="s">
        <v>53</v>
      </c>
      <c r="V1" s="3" t="s">
        <v>54</v>
      </c>
      <c r="W1" s="3" t="s">
        <v>55</v>
      </c>
      <c r="X1" s="3" t="s">
        <v>56</v>
      </c>
      <c r="Y1" s="3" t="s">
        <v>57</v>
      </c>
    </row>
    <row r="2" customFormat="false" ht="46.25" hidden="false" customHeight="false" outlineLevel="0" collapsed="false">
      <c r="A2" s="4" t="s">
        <v>58</v>
      </c>
      <c r="B2" s="4" t="s">
        <v>59</v>
      </c>
      <c r="C2" s="4" t="s">
        <v>60</v>
      </c>
      <c r="D2" s="4" t="s">
        <v>61</v>
      </c>
      <c r="E2" s="4" t="s">
        <v>62</v>
      </c>
      <c r="F2" s="4" t="s">
        <v>63</v>
      </c>
      <c r="G2" s="4" t="s">
        <v>64</v>
      </c>
      <c r="H2" s="4" t="s">
        <v>65</v>
      </c>
      <c r="I2" s="4" t="s">
        <v>66</v>
      </c>
      <c r="J2" s="4" t="s">
        <v>67</v>
      </c>
      <c r="K2" s="4" t="s">
        <v>68</v>
      </c>
      <c r="L2" s="4" t="s">
        <v>69</v>
      </c>
      <c r="M2" s="4" t="s">
        <v>70</v>
      </c>
      <c r="N2" s="4" t="s">
        <v>69</v>
      </c>
      <c r="O2" s="4" t="s">
        <v>71</v>
      </c>
      <c r="P2" s="4" t="s">
        <v>72</v>
      </c>
      <c r="Q2" s="4" t="s">
        <v>73</v>
      </c>
      <c r="R2" s="4" t="s">
        <v>74</v>
      </c>
      <c r="S2" s="4" t="s">
        <v>75</v>
      </c>
      <c r="T2" s="4" t="s">
        <v>76</v>
      </c>
      <c r="U2" s="4" t="s">
        <v>69</v>
      </c>
      <c r="V2" s="4"/>
      <c r="W2" s="4" t="s">
        <v>69</v>
      </c>
      <c r="X2" s="4" t="s">
        <v>77</v>
      </c>
      <c r="Y2" s="4" t="s">
        <v>78</v>
      </c>
    </row>
    <row r="3" customFormat="false" ht="79.85" hidden="false" customHeight="false" outlineLevel="0" collapsed="false">
      <c r="A3" s="4" t="s">
        <v>79</v>
      </c>
      <c r="B3" s="4" t="s">
        <v>80</v>
      </c>
      <c r="C3" s="4" t="s">
        <v>81</v>
      </c>
      <c r="D3" s="4" t="s">
        <v>65</v>
      </c>
      <c r="E3" s="4" t="s">
        <v>62</v>
      </c>
      <c r="F3" s="4" t="s">
        <v>82</v>
      </c>
      <c r="G3" s="4" t="s">
        <v>83</v>
      </c>
      <c r="H3" s="4" t="s">
        <v>65</v>
      </c>
      <c r="I3" s="4" t="s">
        <v>66</v>
      </c>
      <c r="J3" s="4" t="s">
        <v>84</v>
      </c>
      <c r="K3" s="4" t="s">
        <v>85</v>
      </c>
      <c r="L3" s="4" t="s">
        <v>69</v>
      </c>
      <c r="M3" s="4" t="s">
        <v>86</v>
      </c>
      <c r="N3" s="4" t="s">
        <v>87</v>
      </c>
      <c r="O3" s="4" t="s">
        <v>88</v>
      </c>
      <c r="P3" s="4" t="s">
        <v>72</v>
      </c>
      <c r="Q3" s="4" t="s">
        <v>73</v>
      </c>
      <c r="R3" s="4" t="s">
        <v>74</v>
      </c>
      <c r="S3" s="4" t="s">
        <v>89</v>
      </c>
      <c r="T3" s="4" t="s">
        <v>90</v>
      </c>
      <c r="U3" s="4" t="s">
        <v>69</v>
      </c>
      <c r="V3" s="4" t="s">
        <v>91</v>
      </c>
      <c r="W3" s="4" t="s">
        <v>69</v>
      </c>
      <c r="X3" s="4" t="s">
        <v>77</v>
      </c>
      <c r="Y3" s="4" t="s">
        <v>78</v>
      </c>
    </row>
    <row r="4" customFormat="false" ht="91" hidden="false" customHeight="false" outlineLevel="0" collapsed="false">
      <c r="A4" s="4" t="s">
        <v>92</v>
      </c>
      <c r="B4" s="4" t="s">
        <v>93</v>
      </c>
      <c r="C4" s="4" t="s">
        <v>94</v>
      </c>
      <c r="D4" s="4" t="s">
        <v>61</v>
      </c>
      <c r="E4" s="4" t="s">
        <v>62</v>
      </c>
      <c r="F4" s="4" t="s">
        <v>95</v>
      </c>
      <c r="G4" s="4" t="s">
        <v>96</v>
      </c>
      <c r="H4" s="4" t="s">
        <v>61</v>
      </c>
      <c r="I4" s="4" t="s">
        <v>97</v>
      </c>
      <c r="J4" s="4" t="s">
        <v>98</v>
      </c>
      <c r="K4" s="4" t="s">
        <v>99</v>
      </c>
      <c r="L4" s="5" t="s">
        <v>85</v>
      </c>
      <c r="M4" s="4" t="s">
        <v>100</v>
      </c>
      <c r="N4" s="4" t="s">
        <v>101</v>
      </c>
      <c r="O4" s="4" t="s">
        <v>102</v>
      </c>
      <c r="P4" s="4" t="s">
        <v>103</v>
      </c>
      <c r="Q4" s="4" t="s">
        <v>74</v>
      </c>
      <c r="R4" s="4" t="s">
        <v>74</v>
      </c>
      <c r="S4" s="4" t="s">
        <v>104</v>
      </c>
      <c r="T4" s="4" t="s">
        <v>105</v>
      </c>
      <c r="U4" s="4" t="s">
        <v>106</v>
      </c>
      <c r="V4" s="4" t="s">
        <v>107</v>
      </c>
      <c r="W4" s="4" t="s">
        <v>108</v>
      </c>
      <c r="X4" s="4" t="s">
        <v>109</v>
      </c>
      <c r="Y4" s="4" t="s">
        <v>78</v>
      </c>
    </row>
    <row r="5" customFormat="false" ht="57.45" hidden="false" customHeight="false" outlineLevel="0" collapsed="false">
      <c r="A5" s="4" t="s">
        <v>110</v>
      </c>
      <c r="B5" s="4" t="s">
        <v>111</v>
      </c>
      <c r="C5" s="4" t="s">
        <v>112</v>
      </c>
      <c r="D5" s="4" t="s">
        <v>61</v>
      </c>
      <c r="E5" s="4" t="s">
        <v>62</v>
      </c>
      <c r="F5" s="4" t="s">
        <v>113</v>
      </c>
      <c r="G5" s="4" t="s">
        <v>114</v>
      </c>
      <c r="H5" s="4" t="s">
        <v>65</v>
      </c>
      <c r="I5" s="4" t="s">
        <v>97</v>
      </c>
      <c r="J5" s="4" t="s">
        <v>115</v>
      </c>
      <c r="K5" s="4" t="s">
        <v>116</v>
      </c>
      <c r="L5" s="5" t="s">
        <v>85</v>
      </c>
      <c r="M5" s="4" t="s">
        <v>85</v>
      </c>
      <c r="N5" s="4" t="s">
        <v>117</v>
      </c>
      <c r="O5" s="4" t="s">
        <v>118</v>
      </c>
      <c r="P5" s="4" t="s">
        <v>72</v>
      </c>
      <c r="Q5" s="4" t="s">
        <v>74</v>
      </c>
      <c r="R5" s="4" t="s">
        <v>74</v>
      </c>
      <c r="S5" s="4" t="s">
        <v>119</v>
      </c>
      <c r="T5" s="4" t="s">
        <v>120</v>
      </c>
      <c r="U5" s="4" t="s">
        <v>121</v>
      </c>
      <c r="V5" s="4"/>
      <c r="W5" s="4" t="s">
        <v>122</v>
      </c>
      <c r="X5" s="4" t="s">
        <v>109</v>
      </c>
      <c r="Y5" s="4" t="s">
        <v>78</v>
      </c>
    </row>
    <row r="6" customFormat="false" ht="57.45" hidden="false" customHeight="false" outlineLevel="0" collapsed="false">
      <c r="A6" s="4" t="s">
        <v>123</v>
      </c>
      <c r="B6" s="4" t="s">
        <v>124</v>
      </c>
      <c r="C6" s="4" t="s">
        <v>125</v>
      </c>
      <c r="D6" s="4" t="s">
        <v>61</v>
      </c>
      <c r="E6" s="4" t="s">
        <v>62</v>
      </c>
      <c r="F6" s="4" t="s">
        <v>126</v>
      </c>
      <c r="G6" s="4" t="s">
        <v>127</v>
      </c>
      <c r="H6" s="4" t="s">
        <v>61</v>
      </c>
      <c r="I6" s="4" t="s">
        <v>128</v>
      </c>
      <c r="J6" s="4" t="s">
        <v>129</v>
      </c>
      <c r="K6" s="4" t="s">
        <v>85</v>
      </c>
      <c r="L6" s="5" t="s">
        <v>85</v>
      </c>
      <c r="M6" s="4" t="s">
        <v>85</v>
      </c>
      <c r="N6" s="4" t="s">
        <v>130</v>
      </c>
      <c r="O6" s="4" t="s">
        <v>131</v>
      </c>
      <c r="P6" s="4" t="s">
        <v>72</v>
      </c>
      <c r="Q6" s="4" t="s">
        <v>73</v>
      </c>
      <c r="R6" s="4" t="s">
        <v>74</v>
      </c>
      <c r="S6" s="4" t="s">
        <v>132</v>
      </c>
      <c r="T6" s="4" t="s">
        <v>133</v>
      </c>
      <c r="U6" s="4" t="s">
        <v>134</v>
      </c>
      <c r="V6" s="4"/>
      <c r="W6" s="4" t="s">
        <v>61</v>
      </c>
      <c r="X6" s="4" t="s">
        <v>109</v>
      </c>
      <c r="Y6" s="4" t="s">
        <v>78</v>
      </c>
    </row>
    <row r="7" customFormat="false" ht="23.85" hidden="false" customHeight="false" outlineLevel="0" collapsed="false">
      <c r="A7" s="4" t="s">
        <v>135</v>
      </c>
      <c r="B7" s="4" t="s">
        <v>136</v>
      </c>
      <c r="C7" s="4" t="s">
        <v>137</v>
      </c>
      <c r="D7" s="4" t="s">
        <v>61</v>
      </c>
      <c r="E7" s="4" t="s">
        <v>62</v>
      </c>
      <c r="F7" s="4" t="s">
        <v>138</v>
      </c>
      <c r="G7" s="4" t="s">
        <v>139</v>
      </c>
      <c r="H7" s="4" t="s">
        <v>61</v>
      </c>
      <c r="I7" s="4" t="s">
        <v>128</v>
      </c>
      <c r="J7" s="4" t="s">
        <v>140</v>
      </c>
      <c r="K7" s="4" t="s">
        <v>141</v>
      </c>
      <c r="L7" s="5" t="s">
        <v>85</v>
      </c>
      <c r="M7" s="4" t="s">
        <v>85</v>
      </c>
      <c r="N7" s="4" t="s">
        <v>85</v>
      </c>
      <c r="O7" s="4" t="s">
        <v>142</v>
      </c>
      <c r="P7" s="4" t="s">
        <v>72</v>
      </c>
      <c r="Q7" s="4" t="s">
        <v>73</v>
      </c>
      <c r="R7" s="4" t="s">
        <v>74</v>
      </c>
      <c r="S7" s="4" t="s">
        <v>143</v>
      </c>
      <c r="T7" s="4" t="s">
        <v>144</v>
      </c>
      <c r="U7" s="4" t="s">
        <v>145</v>
      </c>
      <c r="V7" s="4"/>
      <c r="W7" s="4" t="s">
        <v>61</v>
      </c>
      <c r="X7" s="4" t="s">
        <v>109</v>
      </c>
      <c r="Y7" s="4" t="s">
        <v>78</v>
      </c>
    </row>
    <row r="8" customFormat="false" ht="135.8" hidden="false" customHeight="false" outlineLevel="0" collapsed="false">
      <c r="A8" s="4" t="s">
        <v>146</v>
      </c>
      <c r="B8" s="4" t="s">
        <v>147</v>
      </c>
      <c r="C8" s="4" t="s">
        <v>148</v>
      </c>
      <c r="D8" s="4" t="s">
        <v>61</v>
      </c>
      <c r="E8" s="4" t="s">
        <v>62</v>
      </c>
      <c r="F8" s="4" t="s">
        <v>149</v>
      </c>
      <c r="G8" s="4" t="s">
        <v>150</v>
      </c>
      <c r="H8" s="4" t="s">
        <v>61</v>
      </c>
      <c r="I8" s="4" t="s">
        <v>97</v>
      </c>
      <c r="J8" s="4" t="s">
        <v>151</v>
      </c>
      <c r="K8" s="4" t="s">
        <v>152</v>
      </c>
      <c r="L8" s="5" t="s">
        <v>85</v>
      </c>
      <c r="M8" s="4" t="s">
        <v>153</v>
      </c>
      <c r="N8" s="4" t="s">
        <v>154</v>
      </c>
      <c r="O8" s="4" t="s">
        <v>155</v>
      </c>
      <c r="P8" s="4" t="s">
        <v>103</v>
      </c>
      <c r="Q8" s="4" t="s">
        <v>74</v>
      </c>
      <c r="R8" s="4" t="s">
        <v>74</v>
      </c>
      <c r="S8" s="4" t="s">
        <v>156</v>
      </c>
      <c r="T8" s="4" t="s">
        <v>157</v>
      </c>
      <c r="U8" s="4" t="s">
        <v>158</v>
      </c>
      <c r="V8" s="4" t="s">
        <v>159</v>
      </c>
      <c r="W8" s="4" t="s">
        <v>160</v>
      </c>
      <c r="X8" s="4" t="s">
        <v>109</v>
      </c>
      <c r="Y8" s="4" t="s">
        <v>161</v>
      </c>
    </row>
    <row r="9" customFormat="false" ht="68.65" hidden="false" customHeight="false" outlineLevel="0" collapsed="false">
      <c r="A9" s="4" t="s">
        <v>162</v>
      </c>
      <c r="B9" s="4" t="s">
        <v>163</v>
      </c>
      <c r="C9" s="4" t="s">
        <v>164</v>
      </c>
      <c r="D9" s="4" t="s">
        <v>61</v>
      </c>
      <c r="E9" s="4" t="s">
        <v>62</v>
      </c>
      <c r="F9" s="4" t="s">
        <v>165</v>
      </c>
      <c r="G9" s="4" t="s">
        <v>166</v>
      </c>
      <c r="H9" s="4" t="s">
        <v>61</v>
      </c>
      <c r="I9" s="4" t="s">
        <v>66</v>
      </c>
      <c r="J9" s="4" t="s">
        <v>167</v>
      </c>
      <c r="K9" s="4" t="s">
        <v>168</v>
      </c>
      <c r="L9" s="5" t="s">
        <v>85</v>
      </c>
      <c r="M9" s="4" t="s">
        <v>85</v>
      </c>
      <c r="N9" s="4" t="s">
        <v>169</v>
      </c>
      <c r="O9" s="4" t="s">
        <v>170</v>
      </c>
      <c r="P9" s="4" t="s">
        <v>72</v>
      </c>
      <c r="Q9" s="4" t="s">
        <v>74</v>
      </c>
      <c r="R9" s="4" t="s">
        <v>74</v>
      </c>
      <c r="S9" s="4" t="s">
        <v>171</v>
      </c>
      <c r="T9" s="4" t="s">
        <v>172</v>
      </c>
      <c r="U9" s="4" t="s">
        <v>173</v>
      </c>
      <c r="V9" s="4" t="s">
        <v>174</v>
      </c>
      <c r="W9" s="4" t="s">
        <v>61</v>
      </c>
      <c r="X9" s="4" t="s">
        <v>109</v>
      </c>
      <c r="Y9" s="4" t="s">
        <v>161</v>
      </c>
    </row>
    <row r="10" customFormat="false" ht="191.75" hidden="false" customHeight="false" outlineLevel="0" collapsed="false">
      <c r="A10" s="4" t="s">
        <v>175</v>
      </c>
      <c r="B10" s="4" t="s">
        <v>176</v>
      </c>
      <c r="C10" s="4" t="s">
        <v>177</v>
      </c>
      <c r="D10" s="4" t="s">
        <v>61</v>
      </c>
      <c r="E10" s="4" t="s">
        <v>62</v>
      </c>
      <c r="F10" s="4" t="s">
        <v>178</v>
      </c>
      <c r="G10" s="4" t="s">
        <v>179</v>
      </c>
      <c r="H10" s="4" t="s">
        <v>61</v>
      </c>
      <c r="I10" s="4" t="s">
        <v>128</v>
      </c>
      <c r="J10" s="4" t="s">
        <v>180</v>
      </c>
      <c r="K10" s="4" t="s">
        <v>181</v>
      </c>
      <c r="L10" s="5" t="s">
        <v>85</v>
      </c>
      <c r="M10" s="4" t="s">
        <v>182</v>
      </c>
      <c r="N10" s="4" t="s">
        <v>183</v>
      </c>
      <c r="O10" s="4" t="s">
        <v>184</v>
      </c>
      <c r="P10" s="4" t="s">
        <v>72</v>
      </c>
      <c r="Q10" s="4" t="s">
        <v>74</v>
      </c>
      <c r="R10" s="4" t="s">
        <v>74</v>
      </c>
      <c r="S10" s="4" t="s">
        <v>185</v>
      </c>
      <c r="T10" s="4" t="s">
        <v>186</v>
      </c>
      <c r="U10" s="4" t="s">
        <v>187</v>
      </c>
      <c r="V10" s="4" t="s">
        <v>188</v>
      </c>
      <c r="W10" s="4" t="s">
        <v>189</v>
      </c>
      <c r="X10" s="4" t="s">
        <v>109</v>
      </c>
      <c r="Y10" s="4" t="s">
        <v>161</v>
      </c>
    </row>
    <row r="11" customFormat="false" ht="68.65" hidden="false" customHeight="false" outlineLevel="0" collapsed="false">
      <c r="A11" s="4" t="s">
        <v>190</v>
      </c>
      <c r="B11" s="4" t="s">
        <v>191</v>
      </c>
      <c r="C11" s="4" t="s">
        <v>192</v>
      </c>
      <c r="D11" s="4" t="s">
        <v>61</v>
      </c>
      <c r="E11" s="4" t="s">
        <v>62</v>
      </c>
      <c r="F11" s="4" t="s">
        <v>193</v>
      </c>
      <c r="G11" s="4" t="s">
        <v>194</v>
      </c>
      <c r="H11" s="4" t="s">
        <v>61</v>
      </c>
      <c r="I11" s="4" t="s">
        <v>128</v>
      </c>
      <c r="J11" s="4" t="s">
        <v>195</v>
      </c>
      <c r="K11" s="4" t="s">
        <v>85</v>
      </c>
      <c r="L11" s="5" t="s">
        <v>85</v>
      </c>
      <c r="M11" s="4" t="s">
        <v>85</v>
      </c>
      <c r="N11" s="4" t="s">
        <v>196</v>
      </c>
      <c r="O11" s="4" t="s">
        <v>197</v>
      </c>
      <c r="P11" s="4" t="s">
        <v>72</v>
      </c>
      <c r="Q11" s="4" t="s">
        <v>74</v>
      </c>
      <c r="R11" s="4" t="s">
        <v>74</v>
      </c>
      <c r="S11" s="4" t="s">
        <v>198</v>
      </c>
      <c r="T11" s="4" t="s">
        <v>199</v>
      </c>
      <c r="U11" s="4" t="s">
        <v>200</v>
      </c>
      <c r="V11" s="4" t="s">
        <v>201</v>
      </c>
      <c r="W11" s="4" t="s">
        <v>61</v>
      </c>
      <c r="X11" s="4" t="s">
        <v>109</v>
      </c>
      <c r="Y11" s="4" t="s">
        <v>161</v>
      </c>
    </row>
    <row r="12" customFormat="false" ht="102.2" hidden="false" customHeight="false" outlineLevel="0" collapsed="false">
      <c r="A12" s="4" t="s">
        <v>202</v>
      </c>
      <c r="B12" s="4" t="s">
        <v>203</v>
      </c>
      <c r="C12" s="4" t="s">
        <v>204</v>
      </c>
      <c r="D12" s="4" t="s">
        <v>65</v>
      </c>
      <c r="E12" s="4" t="s">
        <v>62</v>
      </c>
      <c r="F12" s="4" t="s">
        <v>205</v>
      </c>
      <c r="G12" s="4" t="s">
        <v>206</v>
      </c>
      <c r="H12" s="4" t="s">
        <v>65</v>
      </c>
      <c r="I12" s="4" t="s">
        <v>66</v>
      </c>
      <c r="J12" s="4" t="s">
        <v>207</v>
      </c>
      <c r="K12" s="4" t="s">
        <v>85</v>
      </c>
      <c r="L12" s="5" t="s">
        <v>85</v>
      </c>
      <c r="M12" s="4" t="s">
        <v>208</v>
      </c>
      <c r="N12" s="4" t="s">
        <v>85</v>
      </c>
      <c r="O12" s="4" t="s">
        <v>209</v>
      </c>
      <c r="P12" s="4" t="s">
        <v>72</v>
      </c>
      <c r="Q12" s="4" t="s">
        <v>73</v>
      </c>
      <c r="R12" s="4" t="s">
        <v>74</v>
      </c>
      <c r="S12" s="4" t="s">
        <v>210</v>
      </c>
      <c r="T12" s="4" t="s">
        <v>144</v>
      </c>
      <c r="U12" s="4" t="s">
        <v>211</v>
      </c>
      <c r="V12" s="4" t="s">
        <v>212</v>
      </c>
      <c r="W12" s="4" t="s">
        <v>69</v>
      </c>
      <c r="X12" s="4" t="s">
        <v>213</v>
      </c>
      <c r="Y12" s="4" t="s">
        <v>214</v>
      </c>
    </row>
    <row r="13" customFormat="false" ht="46.25" hidden="false" customHeight="false" outlineLevel="0" collapsed="false">
      <c r="A13" s="4" t="s">
        <v>215</v>
      </c>
      <c r="B13" s="4" t="s">
        <v>216</v>
      </c>
      <c r="C13" s="4" t="s">
        <v>217</v>
      </c>
      <c r="D13" s="4" t="s">
        <v>65</v>
      </c>
      <c r="E13" s="4" t="s">
        <v>218</v>
      </c>
      <c r="F13" s="4" t="s">
        <v>219</v>
      </c>
      <c r="G13" s="4" t="s">
        <v>83</v>
      </c>
      <c r="H13" s="4" t="s">
        <v>65</v>
      </c>
      <c r="I13" s="4" t="s">
        <v>66</v>
      </c>
      <c r="J13" s="4" t="s">
        <v>220</v>
      </c>
      <c r="K13" s="4" t="s">
        <v>85</v>
      </c>
      <c r="L13" s="6" t="s">
        <v>221</v>
      </c>
      <c r="M13" s="4" t="s">
        <v>222</v>
      </c>
      <c r="N13" s="4" t="s">
        <v>223</v>
      </c>
      <c r="O13" s="4" t="s">
        <v>224</v>
      </c>
      <c r="P13" s="4" t="s">
        <v>72</v>
      </c>
      <c r="Q13" s="4" t="s">
        <v>73</v>
      </c>
      <c r="R13" s="4" t="s">
        <v>74</v>
      </c>
      <c r="S13" s="4" t="s">
        <v>225</v>
      </c>
      <c r="T13" s="4" t="s">
        <v>90</v>
      </c>
      <c r="U13" s="4" t="s">
        <v>69</v>
      </c>
      <c r="V13" s="4"/>
      <c r="W13" s="4" t="s">
        <v>69</v>
      </c>
      <c r="X13" s="4" t="s">
        <v>226</v>
      </c>
      <c r="Y13" s="4" t="s">
        <v>78</v>
      </c>
    </row>
    <row r="14" customFormat="false" ht="46.25" hidden="false" customHeight="false" outlineLevel="0" collapsed="false">
      <c r="A14" s="4" t="s">
        <v>227</v>
      </c>
      <c r="B14" s="4" t="s">
        <v>228</v>
      </c>
      <c r="C14" s="4" t="s">
        <v>229</v>
      </c>
      <c r="D14" s="4" t="s">
        <v>65</v>
      </c>
      <c r="E14" s="4" t="s">
        <v>218</v>
      </c>
      <c r="F14" s="4" t="s">
        <v>230</v>
      </c>
      <c r="G14" s="4" t="s">
        <v>231</v>
      </c>
      <c r="H14" s="4" t="s">
        <v>65</v>
      </c>
      <c r="I14" s="4" t="s">
        <v>128</v>
      </c>
      <c r="J14" s="4" t="s">
        <v>232</v>
      </c>
      <c r="K14" s="4" t="s">
        <v>233</v>
      </c>
      <c r="L14" s="5" t="s">
        <v>85</v>
      </c>
      <c r="M14" s="4" t="s">
        <v>234</v>
      </c>
      <c r="N14" s="4" t="s">
        <v>235</v>
      </c>
      <c r="O14" s="4" t="s">
        <v>236</v>
      </c>
      <c r="P14" s="4" t="s">
        <v>72</v>
      </c>
      <c r="Q14" s="4" t="s">
        <v>73</v>
      </c>
      <c r="R14" s="4" t="s">
        <v>74</v>
      </c>
      <c r="S14" s="4" t="s">
        <v>237</v>
      </c>
      <c r="T14" s="4" t="s">
        <v>238</v>
      </c>
      <c r="U14" s="4" t="s">
        <v>239</v>
      </c>
      <c r="V14" s="4"/>
      <c r="W14" s="4" t="s">
        <v>240</v>
      </c>
      <c r="X14" s="4" t="s">
        <v>226</v>
      </c>
      <c r="Y14" s="4" t="s">
        <v>78</v>
      </c>
    </row>
    <row r="15" customFormat="false" ht="35.05" hidden="false" customHeight="false" outlineLevel="0" collapsed="false">
      <c r="A15" s="4" t="s">
        <v>241</v>
      </c>
      <c r="B15" s="4" t="s">
        <v>242</v>
      </c>
      <c r="C15" s="4" t="s">
        <v>243</v>
      </c>
      <c r="D15" s="4" t="s">
        <v>65</v>
      </c>
      <c r="E15" s="4" t="s">
        <v>218</v>
      </c>
      <c r="F15" s="4" t="s">
        <v>244</v>
      </c>
      <c r="G15" s="4" t="s">
        <v>245</v>
      </c>
      <c r="H15" s="4" t="s">
        <v>65</v>
      </c>
      <c r="I15" s="4" t="s">
        <v>66</v>
      </c>
      <c r="J15" s="4" t="s">
        <v>246</v>
      </c>
      <c r="K15" s="4" t="s">
        <v>85</v>
      </c>
      <c r="L15" s="5" t="s">
        <v>85</v>
      </c>
      <c r="M15" s="4" t="s">
        <v>247</v>
      </c>
      <c r="N15" s="4" t="s">
        <v>248</v>
      </c>
      <c r="O15" s="4" t="s">
        <v>249</v>
      </c>
      <c r="P15" s="4" t="s">
        <v>72</v>
      </c>
      <c r="Q15" s="4" t="s">
        <v>73</v>
      </c>
      <c r="R15" s="4" t="s">
        <v>74</v>
      </c>
      <c r="S15" s="4" t="s">
        <v>250</v>
      </c>
      <c r="T15" s="4" t="s">
        <v>251</v>
      </c>
      <c r="U15" s="4" t="s">
        <v>252</v>
      </c>
      <c r="V15" s="4"/>
      <c r="W15" s="4" t="s">
        <v>253</v>
      </c>
      <c r="X15" s="4" t="s">
        <v>226</v>
      </c>
      <c r="Y15" s="4" t="s">
        <v>78</v>
      </c>
    </row>
    <row r="16" customFormat="false" ht="46.25" hidden="false" customHeight="false" outlineLevel="0" collapsed="false">
      <c r="A16" s="4" t="s">
        <v>254</v>
      </c>
      <c r="B16" s="4" t="s">
        <v>255</v>
      </c>
      <c r="C16" s="4" t="s">
        <v>256</v>
      </c>
      <c r="D16" s="4" t="s">
        <v>61</v>
      </c>
      <c r="E16" s="4" t="s">
        <v>218</v>
      </c>
      <c r="F16" s="4" t="s">
        <v>257</v>
      </c>
      <c r="G16" s="4" t="s">
        <v>258</v>
      </c>
      <c r="H16" s="4" t="s">
        <v>61</v>
      </c>
      <c r="I16" s="4" t="s">
        <v>128</v>
      </c>
      <c r="J16" s="4" t="s">
        <v>259</v>
      </c>
      <c r="K16" s="4" t="s">
        <v>260</v>
      </c>
      <c r="L16" s="7" t="s">
        <v>261</v>
      </c>
      <c r="M16" s="4" t="s">
        <v>262</v>
      </c>
      <c r="N16" s="4" t="s">
        <v>85</v>
      </c>
      <c r="O16" s="4" t="s">
        <v>263</v>
      </c>
      <c r="P16" s="4" t="s">
        <v>72</v>
      </c>
      <c r="Q16" s="4" t="s">
        <v>73</v>
      </c>
      <c r="R16" s="4" t="s">
        <v>74</v>
      </c>
      <c r="S16" s="4" t="s">
        <v>264</v>
      </c>
      <c r="T16" s="4" t="s">
        <v>265</v>
      </c>
      <c r="U16" s="4" t="s">
        <v>266</v>
      </c>
      <c r="V16" s="4" t="s">
        <v>267</v>
      </c>
      <c r="W16" s="4" t="s">
        <v>268</v>
      </c>
      <c r="X16" s="4" t="s">
        <v>226</v>
      </c>
      <c r="Y16" s="4" t="s">
        <v>78</v>
      </c>
    </row>
    <row r="17" customFormat="false" ht="68.65" hidden="false" customHeight="false" outlineLevel="0" collapsed="false">
      <c r="A17" s="4" t="s">
        <v>269</v>
      </c>
      <c r="B17" s="4" t="s">
        <v>270</v>
      </c>
      <c r="C17" s="4" t="s">
        <v>271</v>
      </c>
      <c r="D17" s="4" t="s">
        <v>65</v>
      </c>
      <c r="E17" s="4" t="s">
        <v>218</v>
      </c>
      <c r="F17" s="4" t="s">
        <v>272</v>
      </c>
      <c r="G17" s="4" t="s">
        <v>273</v>
      </c>
      <c r="H17" s="4" t="s">
        <v>65</v>
      </c>
      <c r="I17" s="4" t="s">
        <v>128</v>
      </c>
      <c r="J17" s="4" t="s">
        <v>274</v>
      </c>
      <c r="K17" s="4" t="s">
        <v>275</v>
      </c>
      <c r="L17" s="5" t="s">
        <v>85</v>
      </c>
      <c r="M17" s="4" t="s">
        <v>276</v>
      </c>
      <c r="N17" s="4" t="s">
        <v>85</v>
      </c>
      <c r="O17" s="4" t="s">
        <v>277</v>
      </c>
      <c r="P17" s="4" t="s">
        <v>72</v>
      </c>
      <c r="Q17" s="4" t="s">
        <v>73</v>
      </c>
      <c r="R17" s="4" t="s">
        <v>74</v>
      </c>
      <c r="S17" s="4" t="s">
        <v>278</v>
      </c>
      <c r="T17" s="4" t="s">
        <v>279</v>
      </c>
      <c r="U17" s="4" t="s">
        <v>280</v>
      </c>
      <c r="V17" s="4"/>
      <c r="W17" s="4" t="s">
        <v>281</v>
      </c>
      <c r="X17" s="4" t="s">
        <v>226</v>
      </c>
      <c r="Y17" s="4" t="s">
        <v>78</v>
      </c>
    </row>
    <row r="18" customFormat="false" ht="46.25" hidden="false" customHeight="false" outlineLevel="0" collapsed="false">
      <c r="A18" s="4" t="s">
        <v>282</v>
      </c>
      <c r="B18" s="4" t="s">
        <v>283</v>
      </c>
      <c r="C18" s="4" t="s">
        <v>284</v>
      </c>
      <c r="D18" s="4" t="s">
        <v>61</v>
      </c>
      <c r="E18" s="4" t="s">
        <v>218</v>
      </c>
      <c r="F18" s="4" t="s">
        <v>285</v>
      </c>
      <c r="G18" s="4" t="s">
        <v>286</v>
      </c>
      <c r="H18" s="4" t="s">
        <v>61</v>
      </c>
      <c r="I18" s="4" t="s">
        <v>97</v>
      </c>
      <c r="J18" s="4" t="s">
        <v>287</v>
      </c>
      <c r="K18" s="4" t="s">
        <v>275</v>
      </c>
      <c r="L18" s="5" t="s">
        <v>85</v>
      </c>
      <c r="M18" s="4" t="s">
        <v>85</v>
      </c>
      <c r="N18" s="4" t="s">
        <v>85</v>
      </c>
      <c r="O18" s="4" t="s">
        <v>288</v>
      </c>
      <c r="P18" s="4" t="s">
        <v>72</v>
      </c>
      <c r="Q18" s="4" t="s">
        <v>73</v>
      </c>
      <c r="R18" s="4" t="s">
        <v>74</v>
      </c>
      <c r="S18" s="4" t="s">
        <v>289</v>
      </c>
      <c r="T18" s="4" t="s">
        <v>290</v>
      </c>
      <c r="U18" s="4" t="s">
        <v>291</v>
      </c>
      <c r="V18" s="4" t="s">
        <v>292</v>
      </c>
      <c r="W18" s="4" t="s">
        <v>61</v>
      </c>
      <c r="X18" s="4" t="s">
        <v>226</v>
      </c>
      <c r="Y18" s="4" t="s">
        <v>78</v>
      </c>
    </row>
    <row r="19" customFormat="false" ht="35.05" hidden="false" customHeight="false" outlineLevel="0" collapsed="false">
      <c r="A19" s="4" t="s">
        <v>293</v>
      </c>
      <c r="B19" s="4" t="s">
        <v>294</v>
      </c>
      <c r="C19" s="4" t="s">
        <v>295</v>
      </c>
      <c r="D19" s="4" t="s">
        <v>61</v>
      </c>
      <c r="E19" s="4" t="s">
        <v>218</v>
      </c>
      <c r="F19" s="4" t="s">
        <v>296</v>
      </c>
      <c r="G19" s="4" t="s">
        <v>297</v>
      </c>
      <c r="H19" s="4" t="s">
        <v>65</v>
      </c>
      <c r="I19" s="4" t="s">
        <v>66</v>
      </c>
      <c r="J19" s="4" t="s">
        <v>298</v>
      </c>
      <c r="K19" s="4" t="s">
        <v>85</v>
      </c>
      <c r="L19" s="5" t="s">
        <v>85</v>
      </c>
      <c r="M19" s="4" t="s">
        <v>299</v>
      </c>
      <c r="N19" s="4" t="s">
        <v>300</v>
      </c>
      <c r="O19" s="4" t="s">
        <v>301</v>
      </c>
      <c r="P19" s="4" t="s">
        <v>72</v>
      </c>
      <c r="Q19" s="4" t="s">
        <v>73</v>
      </c>
      <c r="R19" s="4" t="s">
        <v>74</v>
      </c>
      <c r="S19" s="4" t="s">
        <v>302</v>
      </c>
      <c r="T19" s="4" t="s">
        <v>303</v>
      </c>
      <c r="U19" s="4" t="s">
        <v>304</v>
      </c>
      <c r="V19" s="4"/>
      <c r="W19" s="4" t="s">
        <v>305</v>
      </c>
      <c r="X19" s="4" t="s">
        <v>226</v>
      </c>
      <c r="Y19" s="4" t="s">
        <v>78</v>
      </c>
    </row>
    <row r="20" customFormat="false" ht="46.25" hidden="false" customHeight="false" outlineLevel="0" collapsed="false">
      <c r="A20" s="4" t="s">
        <v>306</v>
      </c>
      <c r="B20" s="4" t="s">
        <v>307</v>
      </c>
      <c r="C20" s="4" t="s">
        <v>308</v>
      </c>
      <c r="D20" s="4" t="s">
        <v>61</v>
      </c>
      <c r="E20" s="4" t="s">
        <v>218</v>
      </c>
      <c r="F20" s="4" t="s">
        <v>309</v>
      </c>
      <c r="G20" s="4" t="s">
        <v>310</v>
      </c>
      <c r="H20" s="4" t="s">
        <v>65</v>
      </c>
      <c r="I20" s="4" t="s">
        <v>66</v>
      </c>
      <c r="J20" s="4" t="s">
        <v>311</v>
      </c>
      <c r="K20" s="4" t="s">
        <v>312</v>
      </c>
      <c r="L20" s="6" t="s">
        <v>221</v>
      </c>
      <c r="M20" s="4" t="s">
        <v>313</v>
      </c>
      <c r="N20" s="4" t="s">
        <v>314</v>
      </c>
      <c r="O20" s="4" t="s">
        <v>315</v>
      </c>
      <c r="P20" s="4" t="s">
        <v>72</v>
      </c>
      <c r="Q20" s="4" t="s">
        <v>316</v>
      </c>
      <c r="R20" s="4" t="s">
        <v>74</v>
      </c>
      <c r="S20" s="4" t="s">
        <v>317</v>
      </c>
      <c r="T20" s="4" t="s">
        <v>318</v>
      </c>
      <c r="U20" s="4" t="s">
        <v>69</v>
      </c>
      <c r="V20" s="4" t="s">
        <v>319</v>
      </c>
      <c r="W20" s="4" t="s">
        <v>320</v>
      </c>
      <c r="X20" s="4" t="s">
        <v>226</v>
      </c>
      <c r="Y20" s="4" t="s">
        <v>78</v>
      </c>
    </row>
    <row r="21" customFormat="false" ht="68.65" hidden="false" customHeight="false" outlineLevel="0" collapsed="false">
      <c r="A21" s="4" t="s">
        <v>321</v>
      </c>
      <c r="B21" s="4" t="s">
        <v>322</v>
      </c>
      <c r="C21" s="4" t="s">
        <v>323</v>
      </c>
      <c r="D21" s="4" t="s">
        <v>65</v>
      </c>
      <c r="E21" s="4" t="s">
        <v>218</v>
      </c>
      <c r="F21" s="4" t="s">
        <v>324</v>
      </c>
      <c r="G21" s="4" t="s">
        <v>325</v>
      </c>
      <c r="H21" s="4" t="s">
        <v>65</v>
      </c>
      <c r="I21" s="4" t="s">
        <v>66</v>
      </c>
      <c r="J21" s="4" t="s">
        <v>326</v>
      </c>
      <c r="K21" s="4" t="s">
        <v>327</v>
      </c>
      <c r="L21" s="6" t="s">
        <v>221</v>
      </c>
      <c r="M21" s="4" t="s">
        <v>328</v>
      </c>
      <c r="N21" s="4" t="s">
        <v>329</v>
      </c>
      <c r="O21" s="4" t="s">
        <v>330</v>
      </c>
      <c r="P21" s="4" t="s">
        <v>72</v>
      </c>
      <c r="Q21" s="4" t="s">
        <v>316</v>
      </c>
      <c r="R21" s="4" t="s">
        <v>331</v>
      </c>
      <c r="S21" s="4" t="s">
        <v>332</v>
      </c>
      <c r="T21" s="4" t="s">
        <v>333</v>
      </c>
      <c r="U21" s="4" t="s">
        <v>334</v>
      </c>
      <c r="V21" s="4" t="s">
        <v>335</v>
      </c>
      <c r="W21" s="4" t="s">
        <v>336</v>
      </c>
      <c r="X21" s="4" t="s">
        <v>226</v>
      </c>
      <c r="Y21" s="4" t="s">
        <v>78</v>
      </c>
    </row>
    <row r="22" customFormat="false" ht="35.05" hidden="false" customHeight="false" outlineLevel="0" collapsed="false">
      <c r="A22" s="4" t="s">
        <v>337</v>
      </c>
      <c r="B22" s="4" t="s">
        <v>338</v>
      </c>
      <c r="C22" s="4" t="s">
        <v>339</v>
      </c>
      <c r="D22" s="4" t="s">
        <v>65</v>
      </c>
      <c r="E22" s="4" t="s">
        <v>218</v>
      </c>
      <c r="F22" s="4" t="s">
        <v>340</v>
      </c>
      <c r="G22" s="4" t="s">
        <v>341</v>
      </c>
      <c r="H22" s="4" t="s">
        <v>65</v>
      </c>
      <c r="I22" s="4" t="s">
        <v>128</v>
      </c>
      <c r="J22" s="4" t="s">
        <v>342</v>
      </c>
      <c r="K22" s="4" t="s">
        <v>343</v>
      </c>
      <c r="L22" s="6" t="s">
        <v>221</v>
      </c>
      <c r="M22" s="4" t="s">
        <v>344</v>
      </c>
      <c r="N22" s="4" t="s">
        <v>85</v>
      </c>
      <c r="O22" s="4" t="s">
        <v>345</v>
      </c>
      <c r="P22" s="4" t="s">
        <v>72</v>
      </c>
      <c r="Q22" s="4" t="s">
        <v>316</v>
      </c>
      <c r="R22" s="4" t="s">
        <v>74</v>
      </c>
      <c r="S22" s="4" t="s">
        <v>346</v>
      </c>
      <c r="T22" s="4" t="s">
        <v>347</v>
      </c>
      <c r="U22" s="4" t="s">
        <v>348</v>
      </c>
      <c r="V22" s="4"/>
      <c r="W22" s="4" t="s">
        <v>349</v>
      </c>
      <c r="X22" s="4" t="s">
        <v>350</v>
      </c>
      <c r="Y22" s="4" t="s">
        <v>78</v>
      </c>
    </row>
    <row r="23" customFormat="false" ht="35.05" hidden="false" customHeight="false" outlineLevel="0" collapsed="false">
      <c r="A23" s="4" t="s">
        <v>351</v>
      </c>
      <c r="B23" s="4" t="s">
        <v>352</v>
      </c>
      <c r="C23" s="4" t="s">
        <v>353</v>
      </c>
      <c r="D23" s="4" t="s">
        <v>61</v>
      </c>
      <c r="E23" s="4" t="s">
        <v>218</v>
      </c>
      <c r="F23" s="4" t="s">
        <v>354</v>
      </c>
      <c r="G23" s="4" t="s">
        <v>355</v>
      </c>
      <c r="H23" s="4" t="s">
        <v>65</v>
      </c>
      <c r="I23" s="4" t="s">
        <v>128</v>
      </c>
      <c r="J23" s="4" t="s">
        <v>356</v>
      </c>
      <c r="K23" s="4" t="s">
        <v>357</v>
      </c>
      <c r="L23" s="6" t="s">
        <v>221</v>
      </c>
      <c r="M23" s="4" t="s">
        <v>358</v>
      </c>
      <c r="N23" s="4" t="s">
        <v>85</v>
      </c>
      <c r="O23" s="4" t="s">
        <v>359</v>
      </c>
      <c r="P23" s="4" t="s">
        <v>72</v>
      </c>
      <c r="Q23" s="4" t="s">
        <v>73</v>
      </c>
      <c r="R23" s="4" t="s">
        <v>74</v>
      </c>
      <c r="S23" s="4" t="s">
        <v>360</v>
      </c>
      <c r="T23" s="4" t="s">
        <v>361</v>
      </c>
      <c r="U23" s="4" t="s">
        <v>362</v>
      </c>
      <c r="V23" s="4"/>
      <c r="W23" s="4" t="s">
        <v>253</v>
      </c>
      <c r="X23" s="4" t="s">
        <v>226</v>
      </c>
      <c r="Y23" s="4" t="s">
        <v>78</v>
      </c>
    </row>
    <row r="24" customFormat="false" ht="46.25" hidden="false" customHeight="false" outlineLevel="0" collapsed="false">
      <c r="A24" s="4" t="s">
        <v>363</v>
      </c>
      <c r="B24" s="4" t="s">
        <v>364</v>
      </c>
      <c r="C24" s="4" t="s">
        <v>365</v>
      </c>
      <c r="D24" s="4" t="s">
        <v>61</v>
      </c>
      <c r="E24" s="4" t="s">
        <v>218</v>
      </c>
      <c r="F24" s="4" t="s">
        <v>366</v>
      </c>
      <c r="G24" s="4" t="s">
        <v>367</v>
      </c>
      <c r="H24" s="4" t="s">
        <v>61</v>
      </c>
      <c r="I24" s="4" t="s">
        <v>97</v>
      </c>
      <c r="J24" s="4" t="s">
        <v>368</v>
      </c>
      <c r="K24" s="4" t="s">
        <v>369</v>
      </c>
      <c r="L24" s="5" t="s">
        <v>85</v>
      </c>
      <c r="M24" s="4" t="s">
        <v>370</v>
      </c>
      <c r="N24" s="4" t="s">
        <v>371</v>
      </c>
      <c r="O24" s="4" t="s">
        <v>372</v>
      </c>
      <c r="P24" s="4" t="s">
        <v>103</v>
      </c>
      <c r="Q24" s="4" t="s">
        <v>74</v>
      </c>
      <c r="R24" s="4" t="s">
        <v>74</v>
      </c>
      <c r="S24" s="4" t="s">
        <v>373</v>
      </c>
      <c r="T24" s="4" t="s">
        <v>374</v>
      </c>
      <c r="U24" s="4" t="s">
        <v>375</v>
      </c>
      <c r="V24" s="4"/>
      <c r="W24" s="4" t="s">
        <v>61</v>
      </c>
      <c r="X24" s="4" t="s">
        <v>376</v>
      </c>
      <c r="Y24" s="4" t="s">
        <v>78</v>
      </c>
    </row>
    <row r="25" customFormat="false" ht="68.65" hidden="false" customHeight="false" outlineLevel="0" collapsed="false">
      <c r="A25" s="4" t="s">
        <v>377</v>
      </c>
      <c r="B25" s="4" t="s">
        <v>378</v>
      </c>
      <c r="C25" s="4" t="s">
        <v>379</v>
      </c>
      <c r="D25" s="4" t="s">
        <v>61</v>
      </c>
      <c r="E25" s="4" t="s">
        <v>218</v>
      </c>
      <c r="F25" s="4" t="s">
        <v>380</v>
      </c>
      <c r="G25" s="4" t="s">
        <v>381</v>
      </c>
      <c r="H25" s="4" t="s">
        <v>65</v>
      </c>
      <c r="I25" s="4" t="s">
        <v>128</v>
      </c>
      <c r="J25" s="4" t="s">
        <v>382</v>
      </c>
      <c r="K25" s="4" t="s">
        <v>383</v>
      </c>
      <c r="L25" s="5" t="s">
        <v>85</v>
      </c>
      <c r="M25" s="4" t="s">
        <v>384</v>
      </c>
      <c r="N25" s="4" t="s">
        <v>85</v>
      </c>
      <c r="O25" s="4" t="s">
        <v>385</v>
      </c>
      <c r="P25" s="4" t="s">
        <v>103</v>
      </c>
      <c r="Q25" s="4" t="s">
        <v>74</v>
      </c>
      <c r="R25" s="4" t="s">
        <v>74</v>
      </c>
      <c r="S25" s="4" t="s">
        <v>386</v>
      </c>
      <c r="T25" s="4" t="s">
        <v>387</v>
      </c>
      <c r="U25" s="4" t="s">
        <v>388</v>
      </c>
      <c r="V25" s="4"/>
      <c r="W25" s="4" t="s">
        <v>389</v>
      </c>
      <c r="X25" s="4" t="s">
        <v>226</v>
      </c>
      <c r="Y25" s="4" t="s">
        <v>390</v>
      </c>
    </row>
    <row r="26" customFormat="false" ht="57.45" hidden="false" customHeight="false" outlineLevel="0" collapsed="false">
      <c r="A26" s="4" t="s">
        <v>391</v>
      </c>
      <c r="B26" s="4" t="s">
        <v>392</v>
      </c>
      <c r="C26" s="4" t="s">
        <v>393</v>
      </c>
      <c r="D26" s="4" t="s">
        <v>65</v>
      </c>
      <c r="E26" s="4" t="s">
        <v>218</v>
      </c>
      <c r="F26" s="4" t="s">
        <v>394</v>
      </c>
      <c r="G26" s="4" t="s">
        <v>395</v>
      </c>
      <c r="H26" s="4" t="s">
        <v>61</v>
      </c>
      <c r="I26" s="4" t="s">
        <v>128</v>
      </c>
      <c r="J26" s="4" t="s">
        <v>396</v>
      </c>
      <c r="K26" s="4" t="s">
        <v>397</v>
      </c>
      <c r="L26" s="6" t="s">
        <v>221</v>
      </c>
      <c r="M26" s="4" t="s">
        <v>398</v>
      </c>
      <c r="N26" s="4" t="s">
        <v>85</v>
      </c>
      <c r="O26" s="4" t="s">
        <v>399</v>
      </c>
      <c r="P26" s="4" t="s">
        <v>72</v>
      </c>
      <c r="Q26" s="4" t="s">
        <v>73</v>
      </c>
      <c r="R26" s="4" t="s">
        <v>74</v>
      </c>
      <c r="S26" s="4" t="s">
        <v>400</v>
      </c>
      <c r="T26" s="4" t="s">
        <v>401</v>
      </c>
      <c r="U26" s="4" t="s">
        <v>402</v>
      </c>
      <c r="V26" s="4" t="s">
        <v>403</v>
      </c>
      <c r="W26" s="4" t="s">
        <v>404</v>
      </c>
      <c r="X26" s="4" t="s">
        <v>226</v>
      </c>
      <c r="Y26" s="4" t="s">
        <v>214</v>
      </c>
    </row>
    <row r="27" customFormat="false" ht="46.25" hidden="false" customHeight="false" outlineLevel="0" collapsed="false">
      <c r="A27" s="4" t="s">
        <v>405</v>
      </c>
      <c r="B27" s="4" t="s">
        <v>406</v>
      </c>
      <c r="C27" s="4" t="s">
        <v>407</v>
      </c>
      <c r="D27" s="4" t="s">
        <v>61</v>
      </c>
      <c r="E27" s="4" t="s">
        <v>218</v>
      </c>
      <c r="F27" s="4" t="s">
        <v>408</v>
      </c>
      <c r="G27" s="4" t="s">
        <v>409</v>
      </c>
      <c r="H27" s="4" t="s">
        <v>65</v>
      </c>
      <c r="I27" s="4" t="s">
        <v>66</v>
      </c>
      <c r="J27" s="4" t="s">
        <v>410</v>
      </c>
      <c r="K27" s="4" t="s">
        <v>85</v>
      </c>
      <c r="L27" s="5" t="s">
        <v>85</v>
      </c>
      <c r="M27" s="4" t="s">
        <v>208</v>
      </c>
      <c r="N27" s="4" t="s">
        <v>85</v>
      </c>
      <c r="O27" s="4" t="s">
        <v>411</v>
      </c>
      <c r="P27" s="4" t="s">
        <v>72</v>
      </c>
      <c r="Q27" s="4" t="s">
        <v>73</v>
      </c>
      <c r="R27" s="4" t="s">
        <v>74</v>
      </c>
      <c r="S27" s="4" t="s">
        <v>412</v>
      </c>
      <c r="T27" s="4" t="s">
        <v>144</v>
      </c>
      <c r="U27" s="4" t="s">
        <v>413</v>
      </c>
      <c r="V27" s="4"/>
      <c r="W27" s="4" t="s">
        <v>69</v>
      </c>
      <c r="X27" s="4" t="s">
        <v>226</v>
      </c>
      <c r="Y27" s="4" t="s">
        <v>214</v>
      </c>
    </row>
    <row r="28" customFormat="false" ht="91" hidden="false" customHeight="false" outlineLevel="0" collapsed="false">
      <c r="A28" s="4" t="s">
        <v>414</v>
      </c>
      <c r="B28" s="4" t="s">
        <v>415</v>
      </c>
      <c r="C28" s="4" t="s">
        <v>416</v>
      </c>
      <c r="D28" s="4" t="s">
        <v>61</v>
      </c>
      <c r="E28" s="4" t="s">
        <v>218</v>
      </c>
      <c r="F28" s="4" t="s">
        <v>417</v>
      </c>
      <c r="G28" s="4" t="s">
        <v>418</v>
      </c>
      <c r="H28" s="4" t="s">
        <v>61</v>
      </c>
      <c r="I28" s="4" t="s">
        <v>128</v>
      </c>
      <c r="J28" s="4" t="s">
        <v>419</v>
      </c>
      <c r="K28" s="4" t="s">
        <v>420</v>
      </c>
      <c r="L28" s="5" t="s">
        <v>85</v>
      </c>
      <c r="M28" s="4" t="s">
        <v>421</v>
      </c>
      <c r="N28" s="4" t="s">
        <v>422</v>
      </c>
      <c r="O28" s="4" t="s">
        <v>423</v>
      </c>
      <c r="P28" s="4" t="s">
        <v>72</v>
      </c>
      <c r="Q28" s="4" t="s">
        <v>316</v>
      </c>
      <c r="R28" s="4" t="s">
        <v>74</v>
      </c>
      <c r="S28" s="4" t="s">
        <v>424</v>
      </c>
      <c r="T28" s="4" t="s">
        <v>425</v>
      </c>
      <c r="U28" s="4" t="s">
        <v>426</v>
      </c>
      <c r="V28" s="4"/>
      <c r="W28" s="4" t="s">
        <v>427</v>
      </c>
      <c r="X28" s="4" t="s">
        <v>226</v>
      </c>
      <c r="Y28" s="4" t="s">
        <v>214</v>
      </c>
    </row>
    <row r="29" customFormat="false" ht="91" hidden="false" customHeight="false" outlineLevel="0" collapsed="false">
      <c r="A29" s="4" t="s">
        <v>428</v>
      </c>
      <c r="B29" s="4" t="s">
        <v>429</v>
      </c>
      <c r="C29" s="4" t="s">
        <v>430</v>
      </c>
      <c r="D29" s="4" t="s">
        <v>61</v>
      </c>
      <c r="E29" s="4" t="s">
        <v>218</v>
      </c>
      <c r="F29" s="4" t="s">
        <v>431</v>
      </c>
      <c r="G29" s="4" t="s">
        <v>432</v>
      </c>
      <c r="H29" s="4" t="s">
        <v>65</v>
      </c>
      <c r="I29" s="4" t="s">
        <v>97</v>
      </c>
      <c r="J29" s="4" t="s">
        <v>433</v>
      </c>
      <c r="K29" s="4" t="s">
        <v>434</v>
      </c>
      <c r="L29" s="5" t="s">
        <v>85</v>
      </c>
      <c r="M29" s="4" t="s">
        <v>435</v>
      </c>
      <c r="N29" s="4" t="s">
        <v>436</v>
      </c>
      <c r="O29" s="4" t="s">
        <v>437</v>
      </c>
      <c r="P29" s="4" t="s">
        <v>103</v>
      </c>
      <c r="Q29" s="4" t="s">
        <v>74</v>
      </c>
      <c r="R29" s="4" t="s">
        <v>438</v>
      </c>
      <c r="S29" s="4" t="s">
        <v>439</v>
      </c>
      <c r="T29" s="4" t="s">
        <v>440</v>
      </c>
      <c r="U29" s="4" t="s">
        <v>441</v>
      </c>
      <c r="V29" s="4" t="s">
        <v>442</v>
      </c>
      <c r="W29" s="4" t="s">
        <v>443</v>
      </c>
      <c r="X29" s="4" t="s">
        <v>226</v>
      </c>
      <c r="Y29" s="4" t="s">
        <v>214</v>
      </c>
    </row>
    <row r="30" customFormat="false" ht="79.85" hidden="false" customHeight="false" outlineLevel="0" collapsed="false">
      <c r="A30" s="4" t="s">
        <v>444</v>
      </c>
      <c r="B30" s="4" t="s">
        <v>445</v>
      </c>
      <c r="C30" s="4" t="s">
        <v>446</v>
      </c>
      <c r="D30" s="4" t="s">
        <v>61</v>
      </c>
      <c r="E30" s="4" t="s">
        <v>218</v>
      </c>
      <c r="F30" s="4" t="s">
        <v>447</v>
      </c>
      <c r="G30" s="4" t="s">
        <v>448</v>
      </c>
      <c r="H30" s="4" t="s">
        <v>65</v>
      </c>
      <c r="I30" s="4" t="s">
        <v>97</v>
      </c>
      <c r="J30" s="4" t="s">
        <v>449</v>
      </c>
      <c r="K30" s="4" t="s">
        <v>450</v>
      </c>
      <c r="L30" s="6" t="s">
        <v>221</v>
      </c>
      <c r="M30" s="4" t="s">
        <v>451</v>
      </c>
      <c r="N30" s="4" t="s">
        <v>452</v>
      </c>
      <c r="O30" s="4" t="s">
        <v>453</v>
      </c>
      <c r="P30" s="4" t="s">
        <v>72</v>
      </c>
      <c r="Q30" s="4" t="s">
        <v>316</v>
      </c>
      <c r="R30" s="4" t="s">
        <v>454</v>
      </c>
      <c r="S30" s="4" t="s">
        <v>455</v>
      </c>
      <c r="T30" s="4" t="s">
        <v>456</v>
      </c>
      <c r="U30" s="4" t="s">
        <v>457</v>
      </c>
      <c r="V30" s="4" t="s">
        <v>458</v>
      </c>
      <c r="W30" s="4" t="s">
        <v>459</v>
      </c>
      <c r="X30" s="4" t="s">
        <v>226</v>
      </c>
      <c r="Y30" s="4" t="s">
        <v>214</v>
      </c>
    </row>
    <row r="31" customFormat="false" ht="68.65" hidden="false" customHeight="false" outlineLevel="0" collapsed="false">
      <c r="A31" s="4" t="s">
        <v>460</v>
      </c>
      <c r="B31" s="4" t="s">
        <v>461</v>
      </c>
      <c r="C31" s="4" t="s">
        <v>462</v>
      </c>
      <c r="D31" s="4" t="s">
        <v>65</v>
      </c>
      <c r="E31" s="4" t="s">
        <v>218</v>
      </c>
      <c r="F31" s="4" t="s">
        <v>463</v>
      </c>
      <c r="G31" s="4" t="s">
        <v>464</v>
      </c>
      <c r="H31" s="4" t="s">
        <v>65</v>
      </c>
      <c r="I31" s="4" t="s">
        <v>97</v>
      </c>
      <c r="J31" s="4" t="s">
        <v>465</v>
      </c>
      <c r="K31" s="4" t="s">
        <v>466</v>
      </c>
      <c r="L31" s="5" t="s">
        <v>85</v>
      </c>
      <c r="M31" s="4" t="s">
        <v>467</v>
      </c>
      <c r="N31" s="4" t="s">
        <v>468</v>
      </c>
      <c r="O31" s="4" t="s">
        <v>469</v>
      </c>
      <c r="P31" s="4" t="s">
        <v>72</v>
      </c>
      <c r="Q31" s="4" t="s">
        <v>316</v>
      </c>
      <c r="R31" s="4" t="s">
        <v>74</v>
      </c>
      <c r="S31" s="4" t="s">
        <v>470</v>
      </c>
      <c r="T31" s="4" t="s">
        <v>471</v>
      </c>
      <c r="U31" s="4" t="s">
        <v>472</v>
      </c>
      <c r="V31" s="4" t="s">
        <v>473</v>
      </c>
      <c r="W31" s="4" t="s">
        <v>474</v>
      </c>
      <c r="X31" s="4" t="s">
        <v>226</v>
      </c>
      <c r="Y31" s="4" t="s">
        <v>214</v>
      </c>
    </row>
    <row r="32" customFormat="false" ht="68.65" hidden="false" customHeight="false" outlineLevel="0" collapsed="false">
      <c r="A32" s="4" t="s">
        <v>475</v>
      </c>
      <c r="B32" s="4" t="s">
        <v>476</v>
      </c>
      <c r="C32" s="4" t="s">
        <v>477</v>
      </c>
      <c r="D32" s="4" t="s">
        <v>65</v>
      </c>
      <c r="E32" s="4" t="s">
        <v>218</v>
      </c>
      <c r="F32" s="4" t="s">
        <v>478</v>
      </c>
      <c r="G32" s="4" t="s">
        <v>479</v>
      </c>
      <c r="H32" s="4" t="s">
        <v>61</v>
      </c>
      <c r="I32" s="4" t="s">
        <v>97</v>
      </c>
      <c r="J32" s="4" t="s">
        <v>480</v>
      </c>
      <c r="K32" s="4" t="s">
        <v>450</v>
      </c>
      <c r="L32" s="5" t="s">
        <v>85</v>
      </c>
      <c r="M32" s="4" t="s">
        <v>481</v>
      </c>
      <c r="N32" s="4" t="s">
        <v>482</v>
      </c>
      <c r="O32" s="4" t="s">
        <v>483</v>
      </c>
      <c r="P32" s="4" t="s">
        <v>72</v>
      </c>
      <c r="Q32" s="4" t="s">
        <v>316</v>
      </c>
      <c r="R32" s="4" t="s">
        <v>74</v>
      </c>
      <c r="S32" s="4" t="s">
        <v>484</v>
      </c>
      <c r="T32" s="4" t="s">
        <v>485</v>
      </c>
      <c r="U32" s="4" t="s">
        <v>486</v>
      </c>
      <c r="V32" s="4"/>
      <c r="W32" s="4" t="s">
        <v>487</v>
      </c>
      <c r="X32" s="4" t="s">
        <v>226</v>
      </c>
      <c r="Y32" s="4" t="s">
        <v>214</v>
      </c>
    </row>
    <row r="33" customFormat="false" ht="68.65" hidden="false" customHeight="false" outlineLevel="0" collapsed="false">
      <c r="A33" s="4" t="s">
        <v>488</v>
      </c>
      <c r="B33" s="4" t="s">
        <v>489</v>
      </c>
      <c r="C33" s="4" t="s">
        <v>490</v>
      </c>
      <c r="D33" s="4" t="s">
        <v>65</v>
      </c>
      <c r="E33" s="4" t="s">
        <v>218</v>
      </c>
      <c r="F33" s="4" t="s">
        <v>491</v>
      </c>
      <c r="G33" s="4" t="s">
        <v>492</v>
      </c>
      <c r="H33" s="4" t="s">
        <v>61</v>
      </c>
      <c r="I33" s="4" t="s">
        <v>97</v>
      </c>
      <c r="J33" s="4" t="s">
        <v>493</v>
      </c>
      <c r="K33" s="4" t="s">
        <v>494</v>
      </c>
      <c r="L33" s="5" t="s">
        <v>85</v>
      </c>
      <c r="M33" s="4" t="s">
        <v>495</v>
      </c>
      <c r="N33" s="4" t="s">
        <v>496</v>
      </c>
      <c r="O33" s="4" t="s">
        <v>497</v>
      </c>
      <c r="P33" s="4" t="s">
        <v>72</v>
      </c>
      <c r="Q33" s="4" t="s">
        <v>316</v>
      </c>
      <c r="R33" s="4" t="s">
        <v>498</v>
      </c>
      <c r="S33" s="4" t="s">
        <v>499</v>
      </c>
      <c r="T33" s="4" t="s">
        <v>500</v>
      </c>
      <c r="U33" s="4" t="s">
        <v>501</v>
      </c>
      <c r="V33" s="4"/>
      <c r="W33" s="4" t="s">
        <v>502</v>
      </c>
      <c r="X33" s="4" t="s">
        <v>226</v>
      </c>
      <c r="Y33" s="4" t="s">
        <v>214</v>
      </c>
    </row>
    <row r="34" customFormat="false" ht="46.25" hidden="false" customHeight="false" outlineLevel="0" collapsed="false">
      <c r="A34" s="4" t="s">
        <v>503</v>
      </c>
      <c r="B34" s="4" t="s">
        <v>504</v>
      </c>
      <c r="C34" s="4" t="s">
        <v>505</v>
      </c>
      <c r="D34" s="4" t="s">
        <v>65</v>
      </c>
      <c r="E34" s="4" t="s">
        <v>218</v>
      </c>
      <c r="F34" s="4" t="s">
        <v>506</v>
      </c>
      <c r="G34" s="4" t="s">
        <v>507</v>
      </c>
      <c r="H34" s="4" t="s">
        <v>61</v>
      </c>
      <c r="I34" s="4" t="s">
        <v>66</v>
      </c>
      <c r="J34" s="4" t="s">
        <v>508</v>
      </c>
      <c r="K34" s="4" t="s">
        <v>85</v>
      </c>
      <c r="L34" s="5" t="s">
        <v>85</v>
      </c>
      <c r="M34" s="4" t="s">
        <v>509</v>
      </c>
      <c r="N34" s="4" t="s">
        <v>510</v>
      </c>
      <c r="O34" s="4" t="s">
        <v>511</v>
      </c>
      <c r="P34" s="4" t="s">
        <v>72</v>
      </c>
      <c r="Q34" s="4" t="s">
        <v>73</v>
      </c>
      <c r="R34" s="4" t="s">
        <v>74</v>
      </c>
      <c r="S34" s="4" t="s">
        <v>512</v>
      </c>
      <c r="T34" s="4" t="s">
        <v>513</v>
      </c>
      <c r="U34" s="4" t="s">
        <v>514</v>
      </c>
      <c r="V34" s="4" t="s">
        <v>515</v>
      </c>
      <c r="W34" s="4" t="s">
        <v>516</v>
      </c>
      <c r="X34" s="4" t="s">
        <v>517</v>
      </c>
      <c r="Y34" s="4" t="s">
        <v>214</v>
      </c>
    </row>
    <row r="35" customFormat="false" ht="91" hidden="false" customHeight="false" outlineLevel="0" collapsed="false">
      <c r="A35" s="4" t="s">
        <v>518</v>
      </c>
      <c r="B35" s="4" t="s">
        <v>519</v>
      </c>
      <c r="C35" s="4" t="s">
        <v>520</v>
      </c>
      <c r="D35" s="4" t="s">
        <v>65</v>
      </c>
      <c r="E35" s="4" t="s">
        <v>218</v>
      </c>
      <c r="F35" s="4" t="s">
        <v>521</v>
      </c>
      <c r="G35" s="4" t="s">
        <v>522</v>
      </c>
      <c r="H35" s="4" t="s">
        <v>61</v>
      </c>
      <c r="I35" s="4" t="s">
        <v>128</v>
      </c>
      <c r="J35" s="4" t="s">
        <v>523</v>
      </c>
      <c r="K35" s="4" t="s">
        <v>524</v>
      </c>
      <c r="L35" s="7" t="s">
        <v>261</v>
      </c>
      <c r="M35" s="4" t="s">
        <v>525</v>
      </c>
      <c r="N35" s="4" t="s">
        <v>85</v>
      </c>
      <c r="O35" s="4" t="s">
        <v>526</v>
      </c>
      <c r="P35" s="4" t="s">
        <v>72</v>
      </c>
      <c r="Q35" s="4" t="s">
        <v>73</v>
      </c>
      <c r="R35" s="4" t="s">
        <v>74</v>
      </c>
      <c r="S35" s="4" t="s">
        <v>527</v>
      </c>
      <c r="T35" s="4" t="s">
        <v>528</v>
      </c>
      <c r="U35" s="4" t="s">
        <v>529</v>
      </c>
      <c r="V35" s="4"/>
      <c r="W35" s="4" t="s">
        <v>61</v>
      </c>
      <c r="X35" s="4" t="s">
        <v>226</v>
      </c>
      <c r="Y35" s="4" t="s">
        <v>214</v>
      </c>
    </row>
    <row r="36" customFormat="false" ht="91" hidden="false" customHeight="false" outlineLevel="0" collapsed="false">
      <c r="A36" s="4" t="s">
        <v>530</v>
      </c>
      <c r="B36" s="4" t="s">
        <v>275</v>
      </c>
      <c r="C36" s="4" t="s">
        <v>531</v>
      </c>
      <c r="D36" s="4" t="s">
        <v>65</v>
      </c>
      <c r="E36" s="4" t="s">
        <v>218</v>
      </c>
      <c r="F36" s="4" t="s">
        <v>532</v>
      </c>
      <c r="G36" s="4" t="s">
        <v>533</v>
      </c>
      <c r="H36" s="4" t="s">
        <v>61</v>
      </c>
      <c r="I36" s="4" t="s">
        <v>128</v>
      </c>
      <c r="J36" s="4" t="s">
        <v>534</v>
      </c>
      <c r="K36" s="4" t="s">
        <v>535</v>
      </c>
      <c r="L36" s="7" t="s">
        <v>261</v>
      </c>
      <c r="M36" s="4" t="s">
        <v>536</v>
      </c>
      <c r="N36" s="4" t="s">
        <v>85</v>
      </c>
      <c r="O36" s="4" t="s">
        <v>537</v>
      </c>
      <c r="P36" s="4" t="s">
        <v>72</v>
      </c>
      <c r="Q36" s="4" t="s">
        <v>73</v>
      </c>
      <c r="R36" s="4" t="s">
        <v>74</v>
      </c>
      <c r="S36" s="4" t="s">
        <v>538</v>
      </c>
      <c r="T36" s="4" t="s">
        <v>539</v>
      </c>
      <c r="U36" s="4" t="s">
        <v>540</v>
      </c>
      <c r="V36" s="4"/>
      <c r="W36" s="4" t="s">
        <v>541</v>
      </c>
      <c r="X36" s="4" t="s">
        <v>226</v>
      </c>
      <c r="Y36" s="4" t="s">
        <v>214</v>
      </c>
    </row>
    <row r="37" customFormat="false" ht="23.85" hidden="false" customHeight="false" outlineLevel="0" collapsed="false">
      <c r="A37" s="4" t="s">
        <v>542</v>
      </c>
      <c r="B37" s="4" t="s">
        <v>543</v>
      </c>
      <c r="C37" s="4" t="s">
        <v>544</v>
      </c>
      <c r="D37" s="4" t="s">
        <v>65</v>
      </c>
      <c r="E37" s="4" t="s">
        <v>218</v>
      </c>
      <c r="F37" s="4" t="s">
        <v>545</v>
      </c>
      <c r="G37" s="4" t="s">
        <v>533</v>
      </c>
      <c r="H37" s="4" t="s">
        <v>61</v>
      </c>
      <c r="I37" s="4" t="s">
        <v>128</v>
      </c>
      <c r="J37" s="4" t="s">
        <v>546</v>
      </c>
      <c r="K37" s="4" t="s">
        <v>260</v>
      </c>
      <c r="L37" s="5" t="s">
        <v>85</v>
      </c>
      <c r="M37" s="4" t="s">
        <v>547</v>
      </c>
      <c r="N37" s="4" t="s">
        <v>85</v>
      </c>
      <c r="O37" s="4" t="s">
        <v>548</v>
      </c>
      <c r="P37" s="4" t="s">
        <v>72</v>
      </c>
      <c r="Q37" s="4" t="s">
        <v>73</v>
      </c>
      <c r="R37" s="4" t="s">
        <v>74</v>
      </c>
      <c r="S37" s="4" t="s">
        <v>549</v>
      </c>
      <c r="T37" s="4" t="s">
        <v>550</v>
      </c>
      <c r="U37" s="4" t="s">
        <v>551</v>
      </c>
      <c r="V37" s="4"/>
      <c r="W37" s="4" t="s">
        <v>541</v>
      </c>
      <c r="X37" s="4" t="s">
        <v>226</v>
      </c>
      <c r="Y37" s="4" t="s">
        <v>214</v>
      </c>
    </row>
    <row r="38" customFormat="false" ht="46.25" hidden="false" customHeight="false" outlineLevel="0" collapsed="false">
      <c r="A38" s="4" t="s">
        <v>552</v>
      </c>
      <c r="B38" s="4" t="s">
        <v>553</v>
      </c>
      <c r="C38" s="4" t="s">
        <v>554</v>
      </c>
      <c r="D38" s="4" t="s">
        <v>65</v>
      </c>
      <c r="E38" s="4" t="s">
        <v>218</v>
      </c>
      <c r="F38" s="4" t="s">
        <v>555</v>
      </c>
      <c r="G38" s="4" t="s">
        <v>556</v>
      </c>
      <c r="H38" s="4" t="s">
        <v>61</v>
      </c>
      <c r="I38" s="4" t="s">
        <v>128</v>
      </c>
      <c r="J38" s="4" t="s">
        <v>557</v>
      </c>
      <c r="K38" s="4" t="s">
        <v>85</v>
      </c>
      <c r="L38" s="5" t="s">
        <v>85</v>
      </c>
      <c r="M38" s="4" t="s">
        <v>558</v>
      </c>
      <c r="N38" s="4" t="s">
        <v>559</v>
      </c>
      <c r="O38" s="4" t="s">
        <v>560</v>
      </c>
      <c r="P38" s="4" t="s">
        <v>72</v>
      </c>
      <c r="Q38" s="4" t="s">
        <v>73</v>
      </c>
      <c r="R38" s="4" t="s">
        <v>74</v>
      </c>
      <c r="S38" s="4" t="s">
        <v>561</v>
      </c>
      <c r="T38" s="4" t="s">
        <v>562</v>
      </c>
      <c r="U38" s="4" t="s">
        <v>563</v>
      </c>
      <c r="V38" s="4"/>
      <c r="W38" s="4" t="s">
        <v>516</v>
      </c>
      <c r="X38" s="4" t="s">
        <v>226</v>
      </c>
      <c r="Y38" s="4" t="s">
        <v>214</v>
      </c>
    </row>
    <row r="39" customFormat="false" ht="79.85" hidden="false" customHeight="false" outlineLevel="0" collapsed="false">
      <c r="A39" s="4" t="s">
        <v>564</v>
      </c>
      <c r="B39" s="4" t="s">
        <v>565</v>
      </c>
      <c r="C39" s="4" t="s">
        <v>566</v>
      </c>
      <c r="D39" s="4" t="s">
        <v>65</v>
      </c>
      <c r="E39" s="4" t="s">
        <v>218</v>
      </c>
      <c r="F39" s="4" t="s">
        <v>567</v>
      </c>
      <c r="G39" s="4" t="s">
        <v>568</v>
      </c>
      <c r="H39" s="4" t="s">
        <v>61</v>
      </c>
      <c r="I39" s="4" t="s">
        <v>97</v>
      </c>
      <c r="J39" s="4" t="s">
        <v>569</v>
      </c>
      <c r="K39" s="4" t="s">
        <v>570</v>
      </c>
      <c r="L39" s="5" t="s">
        <v>85</v>
      </c>
      <c r="M39" s="4" t="s">
        <v>571</v>
      </c>
      <c r="N39" s="4" t="s">
        <v>572</v>
      </c>
      <c r="O39" s="4" t="s">
        <v>573</v>
      </c>
      <c r="P39" s="4" t="s">
        <v>103</v>
      </c>
      <c r="Q39" s="4" t="s">
        <v>74</v>
      </c>
      <c r="R39" s="4" t="s">
        <v>574</v>
      </c>
      <c r="S39" s="4" t="s">
        <v>575</v>
      </c>
      <c r="T39" s="4" t="s">
        <v>576</v>
      </c>
      <c r="U39" s="4" t="s">
        <v>577</v>
      </c>
      <c r="V39" s="4"/>
      <c r="W39" s="4" t="s">
        <v>516</v>
      </c>
      <c r="X39" s="4" t="s">
        <v>226</v>
      </c>
      <c r="Y39" s="4" t="s">
        <v>214</v>
      </c>
    </row>
    <row r="40" customFormat="false" ht="79.85" hidden="false" customHeight="false" outlineLevel="0" collapsed="false">
      <c r="A40" s="4" t="s">
        <v>578</v>
      </c>
      <c r="B40" s="4" t="s">
        <v>579</v>
      </c>
      <c r="C40" s="4" t="s">
        <v>580</v>
      </c>
      <c r="D40" s="4" t="s">
        <v>65</v>
      </c>
      <c r="E40" s="4" t="s">
        <v>218</v>
      </c>
      <c r="F40" s="4" t="s">
        <v>581</v>
      </c>
      <c r="G40" s="4" t="s">
        <v>582</v>
      </c>
      <c r="H40" s="4" t="s">
        <v>61</v>
      </c>
      <c r="I40" s="4" t="s">
        <v>97</v>
      </c>
      <c r="J40" s="4" t="s">
        <v>583</v>
      </c>
      <c r="K40" s="4" t="s">
        <v>584</v>
      </c>
      <c r="L40" s="5" t="s">
        <v>85</v>
      </c>
      <c r="M40" s="4" t="s">
        <v>585</v>
      </c>
      <c r="N40" s="4" t="s">
        <v>586</v>
      </c>
      <c r="O40" s="4" t="s">
        <v>587</v>
      </c>
      <c r="P40" s="4" t="s">
        <v>72</v>
      </c>
      <c r="Q40" s="4" t="s">
        <v>316</v>
      </c>
      <c r="R40" s="4" t="s">
        <v>74</v>
      </c>
      <c r="S40" s="4" t="s">
        <v>588</v>
      </c>
      <c r="T40" s="4" t="s">
        <v>589</v>
      </c>
      <c r="U40" s="4" t="s">
        <v>590</v>
      </c>
      <c r="V40" s="4" t="s">
        <v>591</v>
      </c>
      <c r="W40" s="4" t="s">
        <v>592</v>
      </c>
      <c r="X40" s="4" t="s">
        <v>226</v>
      </c>
      <c r="Y40" s="4" t="s">
        <v>214</v>
      </c>
    </row>
    <row r="41" customFormat="false" ht="68.65" hidden="false" customHeight="false" outlineLevel="0" collapsed="false">
      <c r="A41" s="4" t="s">
        <v>593</v>
      </c>
      <c r="B41" s="4" t="s">
        <v>594</v>
      </c>
      <c r="C41" s="4" t="s">
        <v>595</v>
      </c>
      <c r="D41" s="4" t="s">
        <v>65</v>
      </c>
      <c r="E41" s="4" t="s">
        <v>218</v>
      </c>
      <c r="F41" s="4" t="s">
        <v>596</v>
      </c>
      <c r="G41" s="4" t="s">
        <v>597</v>
      </c>
      <c r="H41" s="4" t="s">
        <v>61</v>
      </c>
      <c r="I41" s="4" t="s">
        <v>97</v>
      </c>
      <c r="J41" s="4" t="s">
        <v>598</v>
      </c>
      <c r="K41" s="4" t="s">
        <v>599</v>
      </c>
      <c r="L41" s="5" t="s">
        <v>85</v>
      </c>
      <c r="M41" s="4" t="s">
        <v>600</v>
      </c>
      <c r="N41" s="4" t="s">
        <v>601</v>
      </c>
      <c r="O41" s="4" t="s">
        <v>602</v>
      </c>
      <c r="P41" s="4" t="s">
        <v>72</v>
      </c>
      <c r="Q41" s="4" t="s">
        <v>316</v>
      </c>
      <c r="R41" s="4" t="s">
        <v>74</v>
      </c>
      <c r="S41" s="4" t="s">
        <v>603</v>
      </c>
      <c r="T41" s="4" t="s">
        <v>604</v>
      </c>
      <c r="U41" s="4" t="s">
        <v>605</v>
      </c>
      <c r="V41" s="4"/>
      <c r="W41" s="4" t="s">
        <v>606</v>
      </c>
      <c r="X41" s="4" t="s">
        <v>226</v>
      </c>
      <c r="Y41" s="4" t="s">
        <v>214</v>
      </c>
    </row>
    <row r="42" customFormat="false" ht="91" hidden="false" customHeight="false" outlineLevel="0" collapsed="false">
      <c r="A42" s="4" t="s">
        <v>607</v>
      </c>
      <c r="B42" s="4" t="s">
        <v>608</v>
      </c>
      <c r="C42" s="4" t="s">
        <v>609</v>
      </c>
      <c r="D42" s="4" t="s">
        <v>65</v>
      </c>
      <c r="E42" s="4" t="s">
        <v>218</v>
      </c>
      <c r="F42" s="4" t="s">
        <v>610</v>
      </c>
      <c r="G42" s="4" t="s">
        <v>611</v>
      </c>
      <c r="H42" s="4" t="s">
        <v>65</v>
      </c>
      <c r="I42" s="4" t="s">
        <v>66</v>
      </c>
      <c r="J42" s="4" t="s">
        <v>612</v>
      </c>
      <c r="K42" s="4" t="s">
        <v>260</v>
      </c>
      <c r="L42" s="5" t="s">
        <v>85</v>
      </c>
      <c r="M42" s="4" t="s">
        <v>613</v>
      </c>
      <c r="N42" s="4" t="s">
        <v>614</v>
      </c>
      <c r="O42" s="4" t="s">
        <v>615</v>
      </c>
      <c r="P42" s="4" t="s">
        <v>72</v>
      </c>
      <c r="Q42" s="4" t="s">
        <v>73</v>
      </c>
      <c r="R42" s="4" t="s">
        <v>74</v>
      </c>
      <c r="S42" s="4" t="s">
        <v>616</v>
      </c>
      <c r="T42" s="4" t="s">
        <v>617</v>
      </c>
      <c r="U42" s="4" t="s">
        <v>618</v>
      </c>
      <c r="V42" s="4" t="s">
        <v>619</v>
      </c>
      <c r="W42" s="4" t="s">
        <v>620</v>
      </c>
      <c r="X42" s="4" t="s">
        <v>226</v>
      </c>
      <c r="Y42" s="4" t="s">
        <v>214</v>
      </c>
    </row>
    <row r="43" customFormat="false" ht="91" hidden="false" customHeight="false" outlineLevel="0" collapsed="false">
      <c r="A43" s="4" t="s">
        <v>621</v>
      </c>
      <c r="B43" s="4" t="s">
        <v>622</v>
      </c>
      <c r="C43" s="4" t="s">
        <v>623</v>
      </c>
      <c r="D43" s="4" t="s">
        <v>65</v>
      </c>
      <c r="E43" s="4" t="s">
        <v>218</v>
      </c>
      <c r="F43" s="4" t="s">
        <v>624</v>
      </c>
      <c r="G43" s="4" t="s">
        <v>625</v>
      </c>
      <c r="H43" s="4" t="s">
        <v>65</v>
      </c>
      <c r="I43" s="4" t="s">
        <v>66</v>
      </c>
      <c r="J43" s="4" t="s">
        <v>626</v>
      </c>
      <c r="K43" s="4" t="s">
        <v>627</v>
      </c>
      <c r="L43" s="6" t="s">
        <v>221</v>
      </c>
      <c r="M43" s="4" t="s">
        <v>628</v>
      </c>
      <c r="N43" s="4" t="s">
        <v>629</v>
      </c>
      <c r="O43" s="4" t="s">
        <v>630</v>
      </c>
      <c r="P43" s="4" t="s">
        <v>72</v>
      </c>
      <c r="Q43" s="4" t="s">
        <v>73</v>
      </c>
      <c r="R43" s="4" t="s">
        <v>74</v>
      </c>
      <c r="S43" s="4" t="s">
        <v>631</v>
      </c>
      <c r="T43" s="4" t="s">
        <v>144</v>
      </c>
      <c r="U43" s="4" t="s">
        <v>632</v>
      </c>
      <c r="V43" s="4" t="s">
        <v>633</v>
      </c>
      <c r="W43" s="4" t="s">
        <v>69</v>
      </c>
      <c r="X43" s="4" t="s">
        <v>226</v>
      </c>
      <c r="Y43" s="4" t="s">
        <v>214</v>
      </c>
    </row>
    <row r="44" customFormat="false" ht="35.05" hidden="false" customHeight="false" outlineLevel="0" collapsed="false">
      <c r="A44" s="4" t="s">
        <v>634</v>
      </c>
      <c r="B44" s="4" t="s">
        <v>635</v>
      </c>
      <c r="C44" s="4" t="s">
        <v>636</v>
      </c>
      <c r="D44" s="4" t="s">
        <v>65</v>
      </c>
      <c r="E44" s="4" t="s">
        <v>637</v>
      </c>
      <c r="F44" s="4" t="s">
        <v>638</v>
      </c>
      <c r="G44" s="4" t="s">
        <v>639</v>
      </c>
      <c r="H44" s="4" t="s">
        <v>61</v>
      </c>
      <c r="I44" s="4" t="s">
        <v>128</v>
      </c>
      <c r="J44" s="4" t="s">
        <v>640</v>
      </c>
      <c r="K44" s="4" t="s">
        <v>641</v>
      </c>
      <c r="L44" s="5" t="s">
        <v>85</v>
      </c>
      <c r="M44" s="4" t="s">
        <v>642</v>
      </c>
      <c r="N44" s="4" t="s">
        <v>643</v>
      </c>
      <c r="O44" s="4" t="s">
        <v>644</v>
      </c>
      <c r="P44" s="4" t="s">
        <v>72</v>
      </c>
      <c r="Q44" s="4" t="s">
        <v>73</v>
      </c>
      <c r="R44" s="4" t="s">
        <v>74</v>
      </c>
      <c r="S44" s="4" t="s">
        <v>645</v>
      </c>
      <c r="T44" s="4" t="s">
        <v>646</v>
      </c>
      <c r="U44" s="4" t="s">
        <v>647</v>
      </c>
      <c r="V44" s="4"/>
      <c r="W44" s="4" t="s">
        <v>648</v>
      </c>
      <c r="X44" s="4" t="s">
        <v>77</v>
      </c>
      <c r="Y44" s="4" t="s">
        <v>649</v>
      </c>
    </row>
    <row r="45" customFormat="false" ht="35.05" hidden="false" customHeight="false" outlineLevel="0" collapsed="false">
      <c r="A45" s="4" t="s">
        <v>650</v>
      </c>
      <c r="B45" s="4" t="s">
        <v>651</v>
      </c>
      <c r="C45" s="4" t="s">
        <v>652</v>
      </c>
      <c r="D45" s="4" t="s">
        <v>65</v>
      </c>
      <c r="E45" s="4" t="s">
        <v>637</v>
      </c>
      <c r="F45" s="4" t="s">
        <v>653</v>
      </c>
      <c r="G45" s="4" t="s">
        <v>654</v>
      </c>
      <c r="H45" s="4" t="s">
        <v>61</v>
      </c>
      <c r="I45" s="4" t="s">
        <v>128</v>
      </c>
      <c r="J45" s="4" t="s">
        <v>655</v>
      </c>
      <c r="K45" s="4" t="s">
        <v>656</v>
      </c>
      <c r="L45" s="5" t="s">
        <v>85</v>
      </c>
      <c r="M45" s="4" t="s">
        <v>657</v>
      </c>
      <c r="N45" s="4" t="s">
        <v>658</v>
      </c>
      <c r="O45" s="4" t="s">
        <v>659</v>
      </c>
      <c r="P45" s="4" t="s">
        <v>72</v>
      </c>
      <c r="Q45" s="4" t="s">
        <v>73</v>
      </c>
      <c r="R45" s="4" t="s">
        <v>74</v>
      </c>
      <c r="S45" s="4" t="s">
        <v>660</v>
      </c>
      <c r="T45" s="4" t="s">
        <v>661</v>
      </c>
      <c r="U45" s="4" t="s">
        <v>662</v>
      </c>
      <c r="V45" s="4"/>
      <c r="W45" s="4" t="s">
        <v>648</v>
      </c>
      <c r="X45" s="4" t="s">
        <v>77</v>
      </c>
      <c r="Y45" s="4" t="s">
        <v>649</v>
      </c>
    </row>
    <row r="46" customFormat="false" ht="68.65" hidden="false" customHeight="false" outlineLevel="0" collapsed="false">
      <c r="A46" s="4" t="s">
        <v>663</v>
      </c>
      <c r="B46" s="4" t="s">
        <v>664</v>
      </c>
      <c r="C46" s="4" t="s">
        <v>665</v>
      </c>
      <c r="D46" s="4" t="s">
        <v>65</v>
      </c>
      <c r="E46" s="4" t="s">
        <v>637</v>
      </c>
      <c r="F46" s="4" t="s">
        <v>666</v>
      </c>
      <c r="G46" s="4" t="s">
        <v>667</v>
      </c>
      <c r="H46" s="4" t="s">
        <v>65</v>
      </c>
      <c r="I46" s="4" t="s">
        <v>97</v>
      </c>
      <c r="J46" s="4" t="s">
        <v>668</v>
      </c>
      <c r="K46" s="4" t="s">
        <v>669</v>
      </c>
      <c r="L46" s="5" t="s">
        <v>85</v>
      </c>
      <c r="M46" s="4" t="s">
        <v>670</v>
      </c>
      <c r="N46" s="4" t="s">
        <v>671</v>
      </c>
      <c r="O46" s="4" t="s">
        <v>672</v>
      </c>
      <c r="P46" s="4" t="s">
        <v>72</v>
      </c>
      <c r="Q46" s="4" t="s">
        <v>73</v>
      </c>
      <c r="R46" s="4" t="s">
        <v>74</v>
      </c>
      <c r="S46" s="4" t="s">
        <v>673</v>
      </c>
      <c r="T46" s="4" t="s">
        <v>674</v>
      </c>
      <c r="U46" s="4" t="s">
        <v>675</v>
      </c>
      <c r="V46" s="4" t="s">
        <v>676</v>
      </c>
      <c r="W46" s="4" t="s">
        <v>677</v>
      </c>
      <c r="X46" s="4" t="s">
        <v>77</v>
      </c>
      <c r="Y46" s="4" t="s">
        <v>678</v>
      </c>
    </row>
    <row r="47" customFormat="false" ht="35.05" hidden="false" customHeight="false" outlineLevel="0" collapsed="false">
      <c r="A47" s="4" t="s">
        <v>679</v>
      </c>
      <c r="B47" s="4" t="s">
        <v>680</v>
      </c>
      <c r="C47" s="4" t="s">
        <v>681</v>
      </c>
      <c r="D47" s="4" t="s">
        <v>65</v>
      </c>
      <c r="E47" s="4" t="s">
        <v>637</v>
      </c>
      <c r="F47" s="4" t="s">
        <v>682</v>
      </c>
      <c r="G47" s="4" t="s">
        <v>683</v>
      </c>
      <c r="H47" s="4" t="s">
        <v>65</v>
      </c>
      <c r="I47" s="4" t="s">
        <v>66</v>
      </c>
      <c r="J47" s="4" t="s">
        <v>684</v>
      </c>
      <c r="K47" s="4" t="s">
        <v>685</v>
      </c>
      <c r="L47" s="5" t="s">
        <v>85</v>
      </c>
      <c r="M47" s="4" t="s">
        <v>686</v>
      </c>
      <c r="N47" s="4" t="s">
        <v>687</v>
      </c>
      <c r="O47" s="4" t="s">
        <v>688</v>
      </c>
      <c r="P47" s="4" t="s">
        <v>72</v>
      </c>
      <c r="Q47" s="4" t="s">
        <v>73</v>
      </c>
      <c r="R47" s="4" t="s">
        <v>689</v>
      </c>
      <c r="S47" s="4" t="s">
        <v>690</v>
      </c>
      <c r="T47" s="4" t="s">
        <v>691</v>
      </c>
      <c r="U47" s="4" t="s">
        <v>692</v>
      </c>
      <c r="V47" s="4"/>
      <c r="W47" s="4" t="s">
        <v>677</v>
      </c>
      <c r="X47" s="4" t="s">
        <v>77</v>
      </c>
      <c r="Y47" s="4" t="s">
        <v>678</v>
      </c>
    </row>
    <row r="48" customFormat="false" ht="57.45" hidden="false" customHeight="false" outlineLevel="0" collapsed="false">
      <c r="A48" s="4" t="s">
        <v>693</v>
      </c>
      <c r="B48" s="4" t="s">
        <v>694</v>
      </c>
      <c r="C48" s="4" t="s">
        <v>695</v>
      </c>
      <c r="D48" s="4" t="s">
        <v>65</v>
      </c>
      <c r="E48" s="4" t="s">
        <v>637</v>
      </c>
      <c r="F48" s="4" t="s">
        <v>696</v>
      </c>
      <c r="G48" s="4" t="s">
        <v>697</v>
      </c>
      <c r="H48" s="4" t="s">
        <v>61</v>
      </c>
      <c r="I48" s="4" t="s">
        <v>128</v>
      </c>
      <c r="J48" s="4" t="s">
        <v>698</v>
      </c>
      <c r="K48" s="4" t="s">
        <v>85</v>
      </c>
      <c r="L48" s="5" t="s">
        <v>85</v>
      </c>
      <c r="M48" s="4" t="s">
        <v>699</v>
      </c>
      <c r="N48" s="4" t="s">
        <v>700</v>
      </c>
      <c r="O48" s="4" t="s">
        <v>701</v>
      </c>
      <c r="P48" s="4" t="s">
        <v>72</v>
      </c>
      <c r="Q48" s="4" t="s">
        <v>316</v>
      </c>
      <c r="R48" s="4" t="s">
        <v>74</v>
      </c>
      <c r="S48" s="4" t="s">
        <v>702</v>
      </c>
      <c r="T48" s="4" t="s">
        <v>703</v>
      </c>
      <c r="U48" s="4" t="s">
        <v>704</v>
      </c>
      <c r="V48" s="4"/>
      <c r="W48" s="4" t="s">
        <v>705</v>
      </c>
      <c r="X48" s="4" t="s">
        <v>77</v>
      </c>
      <c r="Y48" s="4" t="s">
        <v>678</v>
      </c>
    </row>
    <row r="49" customFormat="false" ht="46.25" hidden="false" customHeight="false" outlineLevel="0" collapsed="false">
      <c r="A49" s="4" t="s">
        <v>706</v>
      </c>
      <c r="B49" s="4" t="s">
        <v>707</v>
      </c>
      <c r="C49" s="4" t="s">
        <v>708</v>
      </c>
      <c r="D49" s="4" t="s">
        <v>65</v>
      </c>
      <c r="E49" s="4" t="s">
        <v>637</v>
      </c>
      <c r="F49" s="4" t="s">
        <v>709</v>
      </c>
      <c r="G49" s="4" t="s">
        <v>710</v>
      </c>
      <c r="H49" s="4" t="s">
        <v>61</v>
      </c>
      <c r="I49" s="4" t="s">
        <v>128</v>
      </c>
      <c r="J49" s="4" t="s">
        <v>711</v>
      </c>
      <c r="K49" s="4" t="s">
        <v>85</v>
      </c>
      <c r="L49" s="5" t="s">
        <v>85</v>
      </c>
      <c r="M49" s="4" t="s">
        <v>712</v>
      </c>
      <c r="N49" s="4" t="s">
        <v>713</v>
      </c>
      <c r="O49" s="4" t="s">
        <v>714</v>
      </c>
      <c r="P49" s="4" t="s">
        <v>72</v>
      </c>
      <c r="Q49" s="4" t="s">
        <v>73</v>
      </c>
      <c r="R49" s="4" t="s">
        <v>74</v>
      </c>
      <c r="S49" s="4" t="s">
        <v>715</v>
      </c>
      <c r="T49" s="4" t="s">
        <v>716</v>
      </c>
      <c r="U49" s="4" t="s">
        <v>717</v>
      </c>
      <c r="V49" s="4" t="s">
        <v>718</v>
      </c>
      <c r="W49" s="4" t="s">
        <v>719</v>
      </c>
      <c r="X49" s="4" t="s">
        <v>720</v>
      </c>
      <c r="Y49" s="4" t="s">
        <v>678</v>
      </c>
    </row>
    <row r="50" customFormat="false" ht="35.05" hidden="false" customHeight="false" outlineLevel="0" collapsed="false">
      <c r="A50" s="4" t="s">
        <v>721</v>
      </c>
      <c r="B50" s="4" t="s">
        <v>722</v>
      </c>
      <c r="C50" s="4" t="s">
        <v>723</v>
      </c>
      <c r="D50" s="4" t="s">
        <v>65</v>
      </c>
      <c r="E50" s="4" t="s">
        <v>637</v>
      </c>
      <c r="F50" s="4" t="s">
        <v>724</v>
      </c>
      <c r="G50" s="4" t="s">
        <v>710</v>
      </c>
      <c r="H50" s="4" t="s">
        <v>61</v>
      </c>
      <c r="I50" s="4" t="s">
        <v>128</v>
      </c>
      <c r="J50" s="4" t="s">
        <v>725</v>
      </c>
      <c r="K50" s="4" t="s">
        <v>85</v>
      </c>
      <c r="L50" s="5" t="s">
        <v>85</v>
      </c>
      <c r="M50" s="4" t="s">
        <v>85</v>
      </c>
      <c r="N50" s="4" t="s">
        <v>726</v>
      </c>
      <c r="O50" s="4" t="s">
        <v>727</v>
      </c>
      <c r="P50" s="4" t="s">
        <v>72</v>
      </c>
      <c r="Q50" s="4" t="s">
        <v>73</v>
      </c>
      <c r="R50" s="4" t="s">
        <v>74</v>
      </c>
      <c r="S50" s="4" t="s">
        <v>728</v>
      </c>
      <c r="T50" s="4" t="s">
        <v>729</v>
      </c>
      <c r="U50" s="4" t="s">
        <v>730</v>
      </c>
      <c r="V50" s="4"/>
      <c r="W50" s="4" t="s">
        <v>719</v>
      </c>
      <c r="X50" s="4" t="s">
        <v>720</v>
      </c>
      <c r="Y50" s="4" t="s">
        <v>678</v>
      </c>
    </row>
    <row r="51" customFormat="false" ht="91" hidden="false" customHeight="false" outlineLevel="0" collapsed="false">
      <c r="A51" s="4" t="s">
        <v>731</v>
      </c>
      <c r="B51" s="4" t="s">
        <v>732</v>
      </c>
      <c r="C51" s="4" t="s">
        <v>733</v>
      </c>
      <c r="D51" s="4" t="s">
        <v>65</v>
      </c>
      <c r="E51" s="4" t="s">
        <v>734</v>
      </c>
      <c r="F51" s="4" t="s">
        <v>735</v>
      </c>
      <c r="G51" s="4" t="s">
        <v>736</v>
      </c>
      <c r="H51" s="4" t="s">
        <v>61</v>
      </c>
      <c r="I51" s="4" t="s">
        <v>128</v>
      </c>
      <c r="J51" s="4" t="s">
        <v>737</v>
      </c>
      <c r="K51" s="4" t="s">
        <v>738</v>
      </c>
      <c r="L51" s="6" t="s">
        <v>221</v>
      </c>
      <c r="M51" s="4" t="s">
        <v>739</v>
      </c>
      <c r="N51" s="4" t="s">
        <v>740</v>
      </c>
      <c r="O51" s="4" t="s">
        <v>741</v>
      </c>
      <c r="P51" s="4" t="s">
        <v>72</v>
      </c>
      <c r="Q51" s="4" t="s">
        <v>73</v>
      </c>
      <c r="R51" s="4" t="s">
        <v>74</v>
      </c>
      <c r="S51" s="4" t="s">
        <v>742</v>
      </c>
      <c r="T51" s="4" t="s">
        <v>743</v>
      </c>
      <c r="U51" s="4" t="s">
        <v>744</v>
      </c>
      <c r="V51" s="4" t="s">
        <v>745</v>
      </c>
      <c r="W51" s="4" t="s">
        <v>746</v>
      </c>
      <c r="X51" s="4" t="s">
        <v>747</v>
      </c>
      <c r="Y51" s="4" t="s">
        <v>748</v>
      </c>
    </row>
    <row r="52" customFormat="false" ht="46.25" hidden="false" customHeight="false" outlineLevel="0" collapsed="false">
      <c r="A52" s="4" t="s">
        <v>749</v>
      </c>
      <c r="B52" s="4" t="s">
        <v>750</v>
      </c>
      <c r="C52" s="4" t="s">
        <v>751</v>
      </c>
      <c r="D52" s="4" t="s">
        <v>61</v>
      </c>
      <c r="E52" s="4" t="s">
        <v>734</v>
      </c>
      <c r="F52" s="4" t="s">
        <v>752</v>
      </c>
      <c r="G52" s="4" t="s">
        <v>753</v>
      </c>
      <c r="H52" s="4" t="s">
        <v>61</v>
      </c>
      <c r="I52" s="4" t="s">
        <v>66</v>
      </c>
      <c r="J52" s="4" t="s">
        <v>754</v>
      </c>
      <c r="K52" s="4" t="s">
        <v>85</v>
      </c>
      <c r="L52" s="6" t="s">
        <v>221</v>
      </c>
      <c r="M52" s="4" t="s">
        <v>755</v>
      </c>
      <c r="N52" s="4" t="s">
        <v>85</v>
      </c>
      <c r="O52" s="4" t="s">
        <v>756</v>
      </c>
      <c r="P52" s="4" t="s">
        <v>72</v>
      </c>
      <c r="Q52" s="4" t="s">
        <v>73</v>
      </c>
      <c r="R52" s="4" t="s">
        <v>74</v>
      </c>
      <c r="S52" s="4" t="s">
        <v>757</v>
      </c>
      <c r="T52" s="4" t="s">
        <v>758</v>
      </c>
      <c r="U52" s="4" t="s">
        <v>759</v>
      </c>
      <c r="V52" s="4"/>
      <c r="W52" s="4" t="s">
        <v>61</v>
      </c>
      <c r="X52" s="4" t="s">
        <v>747</v>
      </c>
      <c r="Y52" s="4" t="s">
        <v>748</v>
      </c>
    </row>
    <row r="53" customFormat="false" ht="46.25" hidden="false" customHeight="false" outlineLevel="0" collapsed="false">
      <c r="A53" s="4" t="s">
        <v>760</v>
      </c>
      <c r="B53" s="4" t="s">
        <v>761</v>
      </c>
      <c r="C53" s="4" t="s">
        <v>762</v>
      </c>
      <c r="D53" s="4" t="s">
        <v>65</v>
      </c>
      <c r="E53" s="4" t="s">
        <v>734</v>
      </c>
      <c r="F53" s="4" t="s">
        <v>763</v>
      </c>
      <c r="G53" s="4" t="s">
        <v>764</v>
      </c>
      <c r="H53" s="4" t="s">
        <v>61</v>
      </c>
      <c r="I53" s="4" t="s">
        <v>128</v>
      </c>
      <c r="J53" s="4" t="s">
        <v>765</v>
      </c>
      <c r="K53" s="4" t="s">
        <v>766</v>
      </c>
      <c r="L53" s="5" t="s">
        <v>85</v>
      </c>
      <c r="M53" s="4" t="s">
        <v>767</v>
      </c>
      <c r="N53" s="4" t="s">
        <v>768</v>
      </c>
      <c r="O53" s="4" t="s">
        <v>769</v>
      </c>
      <c r="P53" s="4" t="s">
        <v>72</v>
      </c>
      <c r="Q53" s="4" t="s">
        <v>73</v>
      </c>
      <c r="R53" s="4" t="s">
        <v>74</v>
      </c>
      <c r="S53" s="4" t="s">
        <v>770</v>
      </c>
      <c r="T53" s="4" t="s">
        <v>771</v>
      </c>
      <c r="U53" s="4" t="s">
        <v>772</v>
      </c>
      <c r="V53" s="4"/>
      <c r="W53" s="4" t="s">
        <v>61</v>
      </c>
      <c r="X53" s="4" t="s">
        <v>747</v>
      </c>
      <c r="Y53" s="4" t="s">
        <v>748</v>
      </c>
    </row>
    <row r="54" customFormat="false" ht="35.05" hidden="false" customHeight="false" outlineLevel="0" collapsed="false">
      <c r="A54" s="4" t="s">
        <v>773</v>
      </c>
      <c r="B54" s="4" t="s">
        <v>774</v>
      </c>
      <c r="C54" s="4" t="s">
        <v>775</v>
      </c>
      <c r="D54" s="4" t="s">
        <v>65</v>
      </c>
      <c r="E54" s="4" t="s">
        <v>734</v>
      </c>
      <c r="F54" s="4" t="s">
        <v>776</v>
      </c>
      <c r="G54" s="4" t="s">
        <v>764</v>
      </c>
      <c r="H54" s="4" t="s">
        <v>61</v>
      </c>
      <c r="I54" s="4" t="s">
        <v>128</v>
      </c>
      <c r="J54" s="4" t="s">
        <v>777</v>
      </c>
      <c r="K54" s="4" t="s">
        <v>778</v>
      </c>
      <c r="L54" s="6" t="s">
        <v>221</v>
      </c>
      <c r="M54" s="4" t="s">
        <v>779</v>
      </c>
      <c r="N54" s="4" t="s">
        <v>780</v>
      </c>
      <c r="O54" s="4" t="s">
        <v>781</v>
      </c>
      <c r="P54" s="4" t="s">
        <v>72</v>
      </c>
      <c r="Q54" s="4" t="s">
        <v>73</v>
      </c>
      <c r="R54" s="4" t="s">
        <v>74</v>
      </c>
      <c r="S54" s="4" t="s">
        <v>782</v>
      </c>
      <c r="T54" s="4" t="s">
        <v>783</v>
      </c>
      <c r="U54" s="4" t="s">
        <v>784</v>
      </c>
      <c r="V54" s="4"/>
      <c r="W54" s="4" t="s">
        <v>61</v>
      </c>
      <c r="X54" s="4" t="s">
        <v>747</v>
      </c>
      <c r="Y54" s="4" t="s">
        <v>748</v>
      </c>
    </row>
    <row r="55" customFormat="false" ht="35.05" hidden="false" customHeight="false" outlineLevel="0" collapsed="false">
      <c r="A55" s="4" t="s">
        <v>785</v>
      </c>
      <c r="B55" s="4" t="s">
        <v>786</v>
      </c>
      <c r="C55" s="4" t="s">
        <v>787</v>
      </c>
      <c r="D55" s="4" t="s">
        <v>65</v>
      </c>
      <c r="E55" s="4" t="s">
        <v>734</v>
      </c>
      <c r="F55" s="4" t="s">
        <v>788</v>
      </c>
      <c r="G55" s="4" t="s">
        <v>764</v>
      </c>
      <c r="H55" s="4" t="s">
        <v>61</v>
      </c>
      <c r="I55" s="4" t="s">
        <v>128</v>
      </c>
      <c r="J55" s="4" t="s">
        <v>789</v>
      </c>
      <c r="K55" s="4" t="s">
        <v>790</v>
      </c>
      <c r="L55" s="5" t="s">
        <v>85</v>
      </c>
      <c r="M55" s="4" t="s">
        <v>791</v>
      </c>
      <c r="N55" s="4" t="s">
        <v>792</v>
      </c>
      <c r="O55" s="4" t="s">
        <v>793</v>
      </c>
      <c r="P55" s="4" t="s">
        <v>72</v>
      </c>
      <c r="Q55" s="4" t="s">
        <v>73</v>
      </c>
      <c r="R55" s="4" t="s">
        <v>74</v>
      </c>
      <c r="S55" s="4" t="s">
        <v>794</v>
      </c>
      <c r="T55" s="4" t="s">
        <v>795</v>
      </c>
      <c r="U55" s="4" t="s">
        <v>796</v>
      </c>
      <c r="V55" s="4"/>
      <c r="W55" s="4" t="s">
        <v>61</v>
      </c>
      <c r="X55" s="4" t="s">
        <v>747</v>
      </c>
      <c r="Y55" s="4" t="s">
        <v>748</v>
      </c>
    </row>
    <row r="56" customFormat="false" ht="57.45" hidden="false" customHeight="false" outlineLevel="0" collapsed="false">
      <c r="A56" s="4" t="s">
        <v>797</v>
      </c>
      <c r="B56" s="4" t="s">
        <v>798</v>
      </c>
      <c r="C56" s="4" t="s">
        <v>799</v>
      </c>
      <c r="D56" s="4" t="s">
        <v>61</v>
      </c>
      <c r="E56" s="4" t="s">
        <v>800</v>
      </c>
      <c r="F56" s="4" t="s">
        <v>801</v>
      </c>
      <c r="G56" s="4" t="s">
        <v>802</v>
      </c>
      <c r="H56" s="4" t="s">
        <v>61</v>
      </c>
      <c r="I56" s="4" t="s">
        <v>66</v>
      </c>
      <c r="J56" s="4" t="s">
        <v>803</v>
      </c>
      <c r="K56" s="4" t="s">
        <v>804</v>
      </c>
      <c r="L56" s="5" t="s">
        <v>85</v>
      </c>
      <c r="M56" s="4" t="s">
        <v>805</v>
      </c>
      <c r="N56" s="4" t="s">
        <v>85</v>
      </c>
      <c r="O56" s="4" t="s">
        <v>806</v>
      </c>
      <c r="P56" s="4" t="s">
        <v>72</v>
      </c>
      <c r="Q56" s="4" t="s">
        <v>73</v>
      </c>
      <c r="R56" s="4" t="s">
        <v>74</v>
      </c>
      <c r="S56" s="4" t="s">
        <v>807</v>
      </c>
      <c r="T56" s="4" t="s">
        <v>144</v>
      </c>
      <c r="U56" s="4" t="s">
        <v>808</v>
      </c>
      <c r="V56" s="4" t="s">
        <v>809</v>
      </c>
      <c r="W56" s="4" t="s">
        <v>61</v>
      </c>
      <c r="X56" s="4" t="s">
        <v>350</v>
      </c>
      <c r="Y56" s="4" t="s">
        <v>78</v>
      </c>
    </row>
    <row r="57" customFormat="false" ht="35.05" hidden="false" customHeight="false" outlineLevel="0" collapsed="false">
      <c r="A57" s="4" t="s">
        <v>810</v>
      </c>
      <c r="B57" s="4" t="s">
        <v>811</v>
      </c>
      <c r="C57" s="4" t="s">
        <v>812</v>
      </c>
      <c r="D57" s="4" t="s">
        <v>65</v>
      </c>
      <c r="E57" s="4" t="s">
        <v>800</v>
      </c>
      <c r="F57" s="4" t="s">
        <v>813</v>
      </c>
      <c r="G57" s="4" t="s">
        <v>814</v>
      </c>
      <c r="H57" s="4" t="s">
        <v>65</v>
      </c>
      <c r="I57" s="4" t="s">
        <v>66</v>
      </c>
      <c r="J57" s="4" t="s">
        <v>815</v>
      </c>
      <c r="K57" s="4" t="s">
        <v>85</v>
      </c>
      <c r="L57" s="6" t="s">
        <v>221</v>
      </c>
      <c r="M57" s="4" t="s">
        <v>816</v>
      </c>
      <c r="N57" s="4" t="s">
        <v>85</v>
      </c>
      <c r="O57" s="4" t="s">
        <v>817</v>
      </c>
      <c r="P57" s="4" t="s">
        <v>72</v>
      </c>
      <c r="Q57" s="4" t="s">
        <v>316</v>
      </c>
      <c r="R57" s="4" t="s">
        <v>74</v>
      </c>
      <c r="S57" s="4" t="s">
        <v>818</v>
      </c>
      <c r="T57" s="4" t="s">
        <v>819</v>
      </c>
      <c r="U57" s="4" t="s">
        <v>820</v>
      </c>
      <c r="V57" s="4" t="s">
        <v>821</v>
      </c>
      <c r="W57" s="4" t="s">
        <v>69</v>
      </c>
      <c r="X57" s="4" t="s">
        <v>350</v>
      </c>
      <c r="Y57" s="4" t="s">
        <v>78</v>
      </c>
    </row>
    <row r="58" customFormat="false" ht="35.05" hidden="false" customHeight="false" outlineLevel="0" collapsed="false">
      <c r="A58" s="4" t="s">
        <v>822</v>
      </c>
      <c r="B58" s="4" t="s">
        <v>823</v>
      </c>
      <c r="C58" s="4" t="s">
        <v>824</v>
      </c>
      <c r="D58" s="4" t="s">
        <v>61</v>
      </c>
      <c r="E58" s="4" t="s">
        <v>800</v>
      </c>
      <c r="F58" s="4" t="s">
        <v>825</v>
      </c>
      <c r="G58" s="4" t="s">
        <v>826</v>
      </c>
      <c r="H58" s="4" t="s">
        <v>61</v>
      </c>
      <c r="I58" s="4" t="s">
        <v>66</v>
      </c>
      <c r="J58" s="4" t="s">
        <v>827</v>
      </c>
      <c r="K58" s="4" t="s">
        <v>828</v>
      </c>
      <c r="L58" s="5" t="s">
        <v>85</v>
      </c>
      <c r="M58" s="4" t="s">
        <v>85</v>
      </c>
      <c r="N58" s="4" t="s">
        <v>85</v>
      </c>
      <c r="O58" s="4" t="s">
        <v>301</v>
      </c>
      <c r="P58" s="4" t="s">
        <v>72</v>
      </c>
      <c r="Q58" s="4" t="s">
        <v>73</v>
      </c>
      <c r="R58" s="4" t="s">
        <v>74</v>
      </c>
      <c r="S58" s="4" t="s">
        <v>829</v>
      </c>
      <c r="T58" s="4" t="s">
        <v>144</v>
      </c>
      <c r="U58" s="4" t="s">
        <v>69</v>
      </c>
      <c r="V58" s="4" t="s">
        <v>830</v>
      </c>
      <c r="W58" s="4" t="s">
        <v>61</v>
      </c>
      <c r="X58" s="4" t="s">
        <v>350</v>
      </c>
      <c r="Y58" s="4" t="s">
        <v>78</v>
      </c>
    </row>
    <row r="59" customFormat="false" ht="135.8" hidden="false" customHeight="false" outlineLevel="0" collapsed="false">
      <c r="A59" s="4" t="s">
        <v>831</v>
      </c>
      <c r="B59" s="4" t="s">
        <v>832</v>
      </c>
      <c r="C59" s="4" t="s">
        <v>833</v>
      </c>
      <c r="D59" s="4" t="s">
        <v>61</v>
      </c>
      <c r="E59" s="4" t="s">
        <v>800</v>
      </c>
      <c r="F59" s="4" t="s">
        <v>834</v>
      </c>
      <c r="G59" s="4" t="s">
        <v>835</v>
      </c>
      <c r="H59" s="4" t="s">
        <v>61</v>
      </c>
      <c r="I59" s="4" t="s">
        <v>97</v>
      </c>
      <c r="J59" s="4" t="s">
        <v>836</v>
      </c>
      <c r="K59" s="4" t="s">
        <v>837</v>
      </c>
      <c r="L59" s="6" t="s">
        <v>221</v>
      </c>
      <c r="M59" s="4" t="s">
        <v>838</v>
      </c>
      <c r="N59" s="4" t="s">
        <v>85</v>
      </c>
      <c r="O59" s="4" t="s">
        <v>839</v>
      </c>
      <c r="P59" s="4" t="s">
        <v>103</v>
      </c>
      <c r="Q59" s="4" t="s">
        <v>74</v>
      </c>
      <c r="R59" s="4" t="s">
        <v>74</v>
      </c>
      <c r="S59" s="4" t="s">
        <v>840</v>
      </c>
      <c r="T59" s="4" t="s">
        <v>841</v>
      </c>
      <c r="U59" s="4" t="s">
        <v>842</v>
      </c>
      <c r="V59" s="4" t="s">
        <v>843</v>
      </c>
      <c r="W59" s="4" t="s">
        <v>844</v>
      </c>
      <c r="X59" s="4" t="s">
        <v>350</v>
      </c>
      <c r="Y59" s="4" t="s">
        <v>390</v>
      </c>
    </row>
    <row r="60" customFormat="false" ht="79.85" hidden="false" customHeight="false" outlineLevel="0" collapsed="false">
      <c r="A60" s="4" t="s">
        <v>845</v>
      </c>
      <c r="B60" s="4" t="s">
        <v>846</v>
      </c>
      <c r="C60" s="4" t="s">
        <v>847</v>
      </c>
      <c r="D60" s="4" t="s">
        <v>61</v>
      </c>
      <c r="E60" s="4" t="s">
        <v>800</v>
      </c>
      <c r="F60" s="4" t="s">
        <v>848</v>
      </c>
      <c r="G60" s="4" t="s">
        <v>849</v>
      </c>
      <c r="H60" s="4" t="s">
        <v>65</v>
      </c>
      <c r="I60" s="4" t="s">
        <v>66</v>
      </c>
      <c r="J60" s="4" t="s">
        <v>850</v>
      </c>
      <c r="K60" s="4" t="s">
        <v>851</v>
      </c>
      <c r="L60" s="6" t="s">
        <v>221</v>
      </c>
      <c r="M60" s="4" t="s">
        <v>852</v>
      </c>
      <c r="N60" s="4" t="s">
        <v>85</v>
      </c>
      <c r="O60" s="4" t="s">
        <v>853</v>
      </c>
      <c r="P60" s="4" t="s">
        <v>854</v>
      </c>
      <c r="Q60" s="4" t="s">
        <v>74</v>
      </c>
      <c r="R60" s="4" t="s">
        <v>74</v>
      </c>
      <c r="S60" s="4" t="s">
        <v>855</v>
      </c>
      <c r="T60" s="4" t="s">
        <v>856</v>
      </c>
      <c r="U60" s="4" t="s">
        <v>857</v>
      </c>
      <c r="V60" s="4"/>
      <c r="W60" s="4" t="s">
        <v>858</v>
      </c>
      <c r="X60" s="4" t="s">
        <v>350</v>
      </c>
      <c r="Y60" s="4" t="s">
        <v>390</v>
      </c>
    </row>
    <row r="61" customFormat="false" ht="68.65" hidden="false" customHeight="false" outlineLevel="0" collapsed="false">
      <c r="A61" s="4" t="s">
        <v>859</v>
      </c>
      <c r="B61" s="4" t="s">
        <v>860</v>
      </c>
      <c r="C61" s="4" t="s">
        <v>861</v>
      </c>
      <c r="D61" s="4" t="s">
        <v>61</v>
      </c>
      <c r="E61" s="4" t="s">
        <v>800</v>
      </c>
      <c r="F61" s="4" t="s">
        <v>862</v>
      </c>
      <c r="G61" s="4" t="s">
        <v>863</v>
      </c>
      <c r="H61" s="4" t="s">
        <v>65</v>
      </c>
      <c r="I61" s="4" t="s">
        <v>66</v>
      </c>
      <c r="J61" s="4" t="s">
        <v>864</v>
      </c>
      <c r="K61" s="4" t="s">
        <v>865</v>
      </c>
      <c r="L61" s="5" t="s">
        <v>85</v>
      </c>
      <c r="M61" s="4" t="s">
        <v>866</v>
      </c>
      <c r="N61" s="4" t="s">
        <v>85</v>
      </c>
      <c r="O61" s="4" t="s">
        <v>867</v>
      </c>
      <c r="P61" s="4" t="s">
        <v>103</v>
      </c>
      <c r="Q61" s="4" t="s">
        <v>316</v>
      </c>
      <c r="R61" s="4" t="s">
        <v>868</v>
      </c>
      <c r="S61" s="4" t="s">
        <v>869</v>
      </c>
      <c r="T61" s="4" t="s">
        <v>870</v>
      </c>
      <c r="U61" s="4" t="s">
        <v>871</v>
      </c>
      <c r="V61" s="4"/>
      <c r="W61" s="4" t="s">
        <v>872</v>
      </c>
      <c r="X61" s="4" t="s">
        <v>350</v>
      </c>
      <c r="Y61" s="4" t="s">
        <v>390</v>
      </c>
    </row>
    <row r="62" customFormat="false" ht="79.85" hidden="false" customHeight="false" outlineLevel="0" collapsed="false">
      <c r="A62" s="4" t="s">
        <v>873</v>
      </c>
      <c r="B62" s="4" t="s">
        <v>874</v>
      </c>
      <c r="C62" s="4" t="s">
        <v>875</v>
      </c>
      <c r="D62" s="4" t="s">
        <v>61</v>
      </c>
      <c r="E62" s="4" t="s">
        <v>800</v>
      </c>
      <c r="F62" s="4" t="s">
        <v>876</v>
      </c>
      <c r="G62" s="4" t="s">
        <v>877</v>
      </c>
      <c r="H62" s="4" t="s">
        <v>65</v>
      </c>
      <c r="I62" s="4" t="s">
        <v>128</v>
      </c>
      <c r="J62" s="4" t="s">
        <v>878</v>
      </c>
      <c r="K62" s="4" t="s">
        <v>879</v>
      </c>
      <c r="L62" s="7" t="s">
        <v>261</v>
      </c>
      <c r="M62" s="4" t="s">
        <v>880</v>
      </c>
      <c r="N62" s="4" t="s">
        <v>85</v>
      </c>
      <c r="O62" s="4" t="s">
        <v>881</v>
      </c>
      <c r="P62" s="4" t="s">
        <v>72</v>
      </c>
      <c r="Q62" s="4" t="s">
        <v>74</v>
      </c>
      <c r="R62" s="4" t="s">
        <v>882</v>
      </c>
      <c r="S62" s="4" t="s">
        <v>883</v>
      </c>
      <c r="T62" s="4" t="s">
        <v>884</v>
      </c>
      <c r="U62" s="4" t="s">
        <v>885</v>
      </c>
      <c r="V62" s="4"/>
      <c r="W62" s="4" t="s">
        <v>886</v>
      </c>
      <c r="X62" s="4" t="s">
        <v>350</v>
      </c>
      <c r="Y62" s="4" t="s">
        <v>390</v>
      </c>
    </row>
    <row r="63" customFormat="false" ht="91" hidden="false" customHeight="false" outlineLevel="0" collapsed="false">
      <c r="A63" s="4" t="s">
        <v>887</v>
      </c>
      <c r="B63" s="4" t="s">
        <v>888</v>
      </c>
      <c r="C63" s="4" t="s">
        <v>889</v>
      </c>
      <c r="D63" s="4" t="s">
        <v>61</v>
      </c>
      <c r="E63" s="4" t="s">
        <v>800</v>
      </c>
      <c r="F63" s="4" t="s">
        <v>890</v>
      </c>
      <c r="G63" s="4" t="s">
        <v>891</v>
      </c>
      <c r="H63" s="4" t="s">
        <v>65</v>
      </c>
      <c r="I63" s="4" t="s">
        <v>66</v>
      </c>
      <c r="J63" s="4" t="s">
        <v>892</v>
      </c>
      <c r="K63" s="4" t="s">
        <v>846</v>
      </c>
      <c r="L63" s="6" t="s">
        <v>221</v>
      </c>
      <c r="M63" s="4" t="s">
        <v>893</v>
      </c>
      <c r="N63" s="4" t="s">
        <v>85</v>
      </c>
      <c r="O63" s="4" t="s">
        <v>894</v>
      </c>
      <c r="P63" s="4" t="s">
        <v>72</v>
      </c>
      <c r="Q63" s="4" t="s">
        <v>74</v>
      </c>
      <c r="R63" s="4" t="s">
        <v>895</v>
      </c>
      <c r="S63" s="4" t="s">
        <v>896</v>
      </c>
      <c r="T63" s="4" t="s">
        <v>897</v>
      </c>
      <c r="U63" s="4" t="s">
        <v>898</v>
      </c>
      <c r="V63" s="4" t="s">
        <v>899</v>
      </c>
      <c r="W63" s="4" t="s">
        <v>900</v>
      </c>
      <c r="X63" s="4" t="s">
        <v>350</v>
      </c>
      <c r="Y63" s="4" t="s">
        <v>390</v>
      </c>
    </row>
    <row r="64" customFormat="false" ht="79.85" hidden="false" customHeight="false" outlineLevel="0" collapsed="false">
      <c r="A64" s="4" t="s">
        <v>901</v>
      </c>
      <c r="B64" s="4" t="s">
        <v>902</v>
      </c>
      <c r="C64" s="4" t="s">
        <v>903</v>
      </c>
      <c r="D64" s="4" t="s">
        <v>61</v>
      </c>
      <c r="E64" s="4" t="s">
        <v>800</v>
      </c>
      <c r="F64" s="4" t="s">
        <v>904</v>
      </c>
      <c r="G64" s="4" t="s">
        <v>905</v>
      </c>
      <c r="H64" s="4" t="s">
        <v>65</v>
      </c>
      <c r="I64" s="4" t="s">
        <v>66</v>
      </c>
      <c r="J64" s="4" t="s">
        <v>906</v>
      </c>
      <c r="K64" s="4" t="s">
        <v>907</v>
      </c>
      <c r="L64" s="5" t="s">
        <v>85</v>
      </c>
      <c r="M64" s="4" t="s">
        <v>908</v>
      </c>
      <c r="N64" s="4" t="s">
        <v>85</v>
      </c>
      <c r="O64" s="4" t="s">
        <v>909</v>
      </c>
      <c r="P64" s="4" t="s">
        <v>72</v>
      </c>
      <c r="Q64" s="4" t="s">
        <v>316</v>
      </c>
      <c r="R64" s="4" t="s">
        <v>74</v>
      </c>
      <c r="S64" s="4" t="s">
        <v>910</v>
      </c>
      <c r="T64" s="4" t="s">
        <v>144</v>
      </c>
      <c r="U64" s="4" t="s">
        <v>911</v>
      </c>
      <c r="V64" s="4"/>
      <c r="W64" s="4" t="s">
        <v>912</v>
      </c>
      <c r="X64" s="4" t="s">
        <v>350</v>
      </c>
      <c r="Y64" s="4" t="s">
        <v>390</v>
      </c>
    </row>
    <row r="65" customFormat="false" ht="91" hidden="false" customHeight="false" outlineLevel="0" collapsed="false">
      <c r="A65" s="4" t="s">
        <v>913</v>
      </c>
      <c r="B65" s="4" t="s">
        <v>914</v>
      </c>
      <c r="C65" s="4" t="s">
        <v>915</v>
      </c>
      <c r="D65" s="4" t="s">
        <v>65</v>
      </c>
      <c r="E65" s="4" t="s">
        <v>916</v>
      </c>
      <c r="F65" s="4" t="s">
        <v>917</v>
      </c>
      <c r="G65" s="4" t="s">
        <v>918</v>
      </c>
      <c r="H65" s="4" t="s">
        <v>61</v>
      </c>
      <c r="I65" s="4" t="s">
        <v>97</v>
      </c>
      <c r="J65" s="4" t="s">
        <v>919</v>
      </c>
      <c r="K65" s="4" t="s">
        <v>920</v>
      </c>
      <c r="L65" s="6" t="s">
        <v>221</v>
      </c>
      <c r="M65" s="4" t="s">
        <v>921</v>
      </c>
      <c r="N65" s="4" t="s">
        <v>922</v>
      </c>
      <c r="O65" s="4" t="s">
        <v>923</v>
      </c>
      <c r="P65" s="4" t="s">
        <v>103</v>
      </c>
      <c r="Q65" s="4" t="s">
        <v>74</v>
      </c>
      <c r="R65" s="4" t="s">
        <v>924</v>
      </c>
      <c r="S65" s="4" t="s">
        <v>925</v>
      </c>
      <c r="T65" s="4" t="s">
        <v>926</v>
      </c>
      <c r="U65" s="4" t="s">
        <v>927</v>
      </c>
      <c r="V65" s="4" t="s">
        <v>928</v>
      </c>
      <c r="W65" s="4" t="s">
        <v>929</v>
      </c>
      <c r="X65" s="4" t="s">
        <v>77</v>
      </c>
      <c r="Y65" s="4" t="s">
        <v>748</v>
      </c>
    </row>
    <row r="66" customFormat="false" ht="35.05" hidden="false" customHeight="false" outlineLevel="0" collapsed="false">
      <c r="A66" s="4" t="s">
        <v>930</v>
      </c>
      <c r="B66" s="4" t="s">
        <v>931</v>
      </c>
      <c r="C66" s="4" t="s">
        <v>932</v>
      </c>
      <c r="D66" s="4" t="s">
        <v>61</v>
      </c>
      <c r="E66" s="4" t="s">
        <v>916</v>
      </c>
      <c r="F66" s="4" t="s">
        <v>933</v>
      </c>
      <c r="G66" s="4" t="s">
        <v>934</v>
      </c>
      <c r="H66" s="4" t="s">
        <v>61</v>
      </c>
      <c r="I66" s="4" t="s">
        <v>128</v>
      </c>
      <c r="J66" s="4" t="s">
        <v>935</v>
      </c>
      <c r="K66" s="4" t="s">
        <v>85</v>
      </c>
      <c r="L66" s="5" t="s">
        <v>85</v>
      </c>
      <c r="M66" s="4" t="s">
        <v>936</v>
      </c>
      <c r="N66" s="4" t="s">
        <v>937</v>
      </c>
      <c r="O66" s="4" t="s">
        <v>938</v>
      </c>
      <c r="P66" s="4" t="s">
        <v>72</v>
      </c>
      <c r="Q66" s="4" t="s">
        <v>73</v>
      </c>
      <c r="R66" s="4" t="s">
        <v>74</v>
      </c>
      <c r="S66" s="4" t="s">
        <v>939</v>
      </c>
      <c r="T66" s="4" t="s">
        <v>940</v>
      </c>
      <c r="U66" s="4" t="s">
        <v>941</v>
      </c>
      <c r="V66" s="4"/>
      <c r="W66" s="4" t="s">
        <v>61</v>
      </c>
      <c r="X66" s="4" t="s">
        <v>720</v>
      </c>
      <c r="Y66" s="4" t="s">
        <v>748</v>
      </c>
    </row>
    <row r="67" customFormat="false" ht="35.05" hidden="false" customHeight="false" outlineLevel="0" collapsed="false">
      <c r="A67" s="4" t="s">
        <v>942</v>
      </c>
      <c r="B67" s="4" t="s">
        <v>943</v>
      </c>
      <c r="C67" s="4" t="s">
        <v>944</v>
      </c>
      <c r="D67" s="4" t="s">
        <v>61</v>
      </c>
      <c r="E67" s="4" t="s">
        <v>916</v>
      </c>
      <c r="F67" s="4" t="s">
        <v>945</v>
      </c>
      <c r="G67" s="4" t="s">
        <v>946</v>
      </c>
      <c r="H67" s="4" t="s">
        <v>61</v>
      </c>
      <c r="I67" s="4" t="s">
        <v>128</v>
      </c>
      <c r="J67" s="4" t="s">
        <v>947</v>
      </c>
      <c r="K67" s="4" t="s">
        <v>948</v>
      </c>
      <c r="L67" s="5" t="s">
        <v>85</v>
      </c>
      <c r="M67" s="4" t="s">
        <v>949</v>
      </c>
      <c r="N67" s="4" t="s">
        <v>950</v>
      </c>
      <c r="O67" s="4" t="s">
        <v>951</v>
      </c>
      <c r="P67" s="4" t="s">
        <v>72</v>
      </c>
      <c r="Q67" s="4" t="s">
        <v>73</v>
      </c>
      <c r="R67" s="4" t="s">
        <v>74</v>
      </c>
      <c r="S67" s="4" t="s">
        <v>952</v>
      </c>
      <c r="T67" s="4" t="s">
        <v>953</v>
      </c>
      <c r="U67" s="4" t="s">
        <v>954</v>
      </c>
      <c r="V67" s="4" t="s">
        <v>955</v>
      </c>
      <c r="W67" s="4" t="s">
        <v>61</v>
      </c>
      <c r="X67" s="4" t="s">
        <v>226</v>
      </c>
      <c r="Y67" s="4" t="s">
        <v>748</v>
      </c>
    </row>
    <row r="68" customFormat="false" ht="57.45" hidden="false" customHeight="false" outlineLevel="0" collapsed="false">
      <c r="A68" s="4" t="s">
        <v>956</v>
      </c>
      <c r="B68" s="4" t="s">
        <v>957</v>
      </c>
      <c r="C68" s="4" t="s">
        <v>958</v>
      </c>
      <c r="D68" s="4" t="s">
        <v>61</v>
      </c>
      <c r="E68" s="4" t="s">
        <v>916</v>
      </c>
      <c r="F68" s="4" t="s">
        <v>959</v>
      </c>
      <c r="G68" s="4" t="s">
        <v>960</v>
      </c>
      <c r="H68" s="4" t="s">
        <v>61</v>
      </c>
      <c r="I68" s="4" t="s">
        <v>97</v>
      </c>
      <c r="J68" s="4" t="s">
        <v>961</v>
      </c>
      <c r="K68" s="4" t="s">
        <v>962</v>
      </c>
      <c r="L68" s="6" t="s">
        <v>221</v>
      </c>
      <c r="M68" s="4" t="s">
        <v>963</v>
      </c>
      <c r="N68" s="4" t="s">
        <v>964</v>
      </c>
      <c r="O68" s="4" t="s">
        <v>965</v>
      </c>
      <c r="P68" s="4" t="s">
        <v>103</v>
      </c>
      <c r="Q68" s="4" t="s">
        <v>74</v>
      </c>
      <c r="R68" s="4" t="s">
        <v>74</v>
      </c>
      <c r="S68" s="4" t="s">
        <v>966</v>
      </c>
      <c r="T68" s="4" t="s">
        <v>967</v>
      </c>
      <c r="U68" s="4" t="s">
        <v>968</v>
      </c>
      <c r="V68" s="4" t="s">
        <v>969</v>
      </c>
      <c r="W68" s="4" t="s">
        <v>61</v>
      </c>
      <c r="X68" s="4" t="s">
        <v>376</v>
      </c>
      <c r="Y68" s="4" t="s">
        <v>748</v>
      </c>
    </row>
    <row r="69" customFormat="false" ht="23.85" hidden="false" customHeight="false" outlineLevel="0" collapsed="false">
      <c r="A69" s="4" t="s">
        <v>970</v>
      </c>
      <c r="B69" s="4" t="s">
        <v>971</v>
      </c>
      <c r="C69" s="4" t="s">
        <v>972</v>
      </c>
      <c r="D69" s="4" t="s">
        <v>65</v>
      </c>
      <c r="E69" s="4" t="s">
        <v>916</v>
      </c>
      <c r="F69" s="4" t="s">
        <v>973</v>
      </c>
      <c r="G69" s="4" t="s">
        <v>974</v>
      </c>
      <c r="H69" s="4" t="s">
        <v>61</v>
      </c>
      <c r="I69" s="4" t="s">
        <v>66</v>
      </c>
      <c r="J69" s="4" t="s">
        <v>975</v>
      </c>
      <c r="K69" s="4" t="s">
        <v>914</v>
      </c>
      <c r="L69" s="6" t="s">
        <v>221</v>
      </c>
      <c r="M69" s="4" t="s">
        <v>976</v>
      </c>
      <c r="N69" s="4" t="s">
        <v>977</v>
      </c>
      <c r="O69" s="4" t="s">
        <v>978</v>
      </c>
      <c r="P69" s="4" t="s">
        <v>72</v>
      </c>
      <c r="Q69" s="4" t="s">
        <v>73</v>
      </c>
      <c r="R69" s="4" t="s">
        <v>74</v>
      </c>
      <c r="S69" s="4" t="s">
        <v>979</v>
      </c>
      <c r="T69" s="4" t="s">
        <v>144</v>
      </c>
      <c r="U69" s="4" t="s">
        <v>980</v>
      </c>
      <c r="V69" s="4"/>
      <c r="W69" s="4" t="s">
        <v>61</v>
      </c>
      <c r="X69" s="4" t="s">
        <v>77</v>
      </c>
      <c r="Y69" s="4" t="s">
        <v>748</v>
      </c>
    </row>
    <row r="70" customFormat="false" ht="46.25" hidden="false" customHeight="false" outlineLevel="0" collapsed="false">
      <c r="A70" s="4" t="s">
        <v>981</v>
      </c>
      <c r="B70" s="4" t="s">
        <v>982</v>
      </c>
      <c r="C70" s="4" t="s">
        <v>983</v>
      </c>
      <c r="D70" s="4" t="s">
        <v>65</v>
      </c>
      <c r="E70" s="4" t="s">
        <v>916</v>
      </c>
      <c r="F70" s="4" t="s">
        <v>984</v>
      </c>
      <c r="G70" s="4" t="s">
        <v>985</v>
      </c>
      <c r="H70" s="4" t="s">
        <v>61</v>
      </c>
      <c r="I70" s="4" t="s">
        <v>97</v>
      </c>
      <c r="J70" s="4" t="s">
        <v>986</v>
      </c>
      <c r="K70" s="4" t="s">
        <v>987</v>
      </c>
      <c r="L70" s="5" t="s">
        <v>85</v>
      </c>
      <c r="M70" s="4" t="s">
        <v>988</v>
      </c>
      <c r="N70" s="4" t="s">
        <v>989</v>
      </c>
      <c r="O70" s="4" t="s">
        <v>990</v>
      </c>
      <c r="P70" s="4" t="s">
        <v>72</v>
      </c>
      <c r="Q70" s="4" t="s">
        <v>74</v>
      </c>
      <c r="R70" s="4" t="s">
        <v>74</v>
      </c>
      <c r="S70" s="4" t="s">
        <v>991</v>
      </c>
      <c r="T70" s="4" t="s">
        <v>992</v>
      </c>
      <c r="U70" s="4" t="s">
        <v>993</v>
      </c>
      <c r="V70" s="4" t="s">
        <v>994</v>
      </c>
      <c r="W70" s="4" t="s">
        <v>61</v>
      </c>
      <c r="X70" s="4" t="s">
        <v>376</v>
      </c>
      <c r="Y70" s="4" t="s">
        <v>748</v>
      </c>
    </row>
    <row r="71" customFormat="false" ht="57.45" hidden="false" customHeight="false" outlineLevel="0" collapsed="false">
      <c r="A71" s="4" t="s">
        <v>995</v>
      </c>
      <c r="B71" s="4" t="s">
        <v>996</v>
      </c>
      <c r="C71" s="4" t="s">
        <v>997</v>
      </c>
      <c r="D71" s="4" t="s">
        <v>61</v>
      </c>
      <c r="E71" s="4" t="s">
        <v>916</v>
      </c>
      <c r="F71" s="4" t="s">
        <v>998</v>
      </c>
      <c r="G71" s="4" t="s">
        <v>999</v>
      </c>
      <c r="H71" s="4" t="s">
        <v>65</v>
      </c>
      <c r="I71" s="4" t="s">
        <v>66</v>
      </c>
      <c r="J71" s="4" t="s">
        <v>1000</v>
      </c>
      <c r="K71" s="4" t="s">
        <v>1001</v>
      </c>
      <c r="L71" s="6" t="s">
        <v>221</v>
      </c>
      <c r="M71" s="4" t="s">
        <v>1002</v>
      </c>
      <c r="N71" s="4" t="s">
        <v>1003</v>
      </c>
      <c r="O71" s="4" t="s">
        <v>1004</v>
      </c>
      <c r="P71" s="4" t="s">
        <v>72</v>
      </c>
      <c r="Q71" s="4" t="s">
        <v>73</v>
      </c>
      <c r="R71" s="4" t="s">
        <v>1005</v>
      </c>
      <c r="S71" s="4" t="s">
        <v>1006</v>
      </c>
      <c r="T71" s="4" t="s">
        <v>144</v>
      </c>
      <c r="U71" s="4" t="s">
        <v>1007</v>
      </c>
      <c r="V71" s="4" t="s">
        <v>1008</v>
      </c>
      <c r="W71" s="4" t="s">
        <v>677</v>
      </c>
      <c r="X71" s="4" t="s">
        <v>517</v>
      </c>
      <c r="Y71" s="4" t="s">
        <v>678</v>
      </c>
    </row>
    <row r="72" customFormat="false" ht="46.25" hidden="false" customHeight="false" outlineLevel="0" collapsed="false">
      <c r="A72" s="4" t="s">
        <v>1009</v>
      </c>
      <c r="B72" s="4" t="s">
        <v>1010</v>
      </c>
      <c r="C72" s="4" t="s">
        <v>1011</v>
      </c>
      <c r="D72" s="4" t="s">
        <v>65</v>
      </c>
      <c r="E72" s="4" t="s">
        <v>1012</v>
      </c>
      <c r="F72" s="4" t="s">
        <v>1013</v>
      </c>
      <c r="G72" s="4" t="s">
        <v>1014</v>
      </c>
      <c r="H72" s="4" t="s">
        <v>61</v>
      </c>
      <c r="I72" s="4" t="s">
        <v>128</v>
      </c>
      <c r="J72" s="4" t="s">
        <v>1015</v>
      </c>
      <c r="K72" s="4" t="s">
        <v>85</v>
      </c>
      <c r="L72" s="5" t="s">
        <v>85</v>
      </c>
      <c r="M72" s="4" t="s">
        <v>1016</v>
      </c>
      <c r="N72" s="4" t="s">
        <v>1017</v>
      </c>
      <c r="O72" s="4" t="s">
        <v>1018</v>
      </c>
      <c r="P72" s="4" t="s">
        <v>72</v>
      </c>
      <c r="Q72" s="4" t="s">
        <v>316</v>
      </c>
      <c r="R72" s="4" t="s">
        <v>74</v>
      </c>
      <c r="S72" s="4" t="s">
        <v>1019</v>
      </c>
      <c r="T72" s="4" t="s">
        <v>1020</v>
      </c>
      <c r="U72" s="4" t="s">
        <v>1021</v>
      </c>
      <c r="V72" s="4"/>
      <c r="W72" s="4" t="s">
        <v>648</v>
      </c>
      <c r="X72" s="4" t="s">
        <v>1022</v>
      </c>
      <c r="Y72" s="4" t="s">
        <v>649</v>
      </c>
    </row>
    <row r="73" customFormat="false" ht="57.45" hidden="false" customHeight="false" outlineLevel="0" collapsed="false">
      <c r="A73" s="4" t="s">
        <v>1023</v>
      </c>
      <c r="B73" s="4" t="s">
        <v>1024</v>
      </c>
      <c r="C73" s="4" t="s">
        <v>1025</v>
      </c>
      <c r="D73" s="4" t="s">
        <v>65</v>
      </c>
      <c r="E73" s="4" t="s">
        <v>1012</v>
      </c>
      <c r="F73" s="4" t="s">
        <v>1026</v>
      </c>
      <c r="G73" s="4" t="s">
        <v>1027</v>
      </c>
      <c r="H73" s="4" t="s">
        <v>61</v>
      </c>
      <c r="I73" s="4" t="s">
        <v>97</v>
      </c>
      <c r="J73" s="4" t="s">
        <v>1028</v>
      </c>
      <c r="K73" s="4" t="s">
        <v>1029</v>
      </c>
      <c r="L73" s="5" t="s">
        <v>85</v>
      </c>
      <c r="M73" s="4" t="s">
        <v>1030</v>
      </c>
      <c r="N73" s="4" t="s">
        <v>85</v>
      </c>
      <c r="O73" s="4" t="s">
        <v>1031</v>
      </c>
      <c r="P73" s="4" t="s">
        <v>72</v>
      </c>
      <c r="Q73" s="4" t="s">
        <v>73</v>
      </c>
      <c r="R73" s="4" t="s">
        <v>74</v>
      </c>
      <c r="S73" s="4" t="s">
        <v>1032</v>
      </c>
      <c r="T73" s="4" t="s">
        <v>1033</v>
      </c>
      <c r="U73" s="4" t="s">
        <v>1034</v>
      </c>
      <c r="V73" s="4"/>
      <c r="W73" s="4" t="s">
        <v>1035</v>
      </c>
      <c r="X73" s="4" t="s">
        <v>1036</v>
      </c>
      <c r="Y73" s="4" t="s">
        <v>214</v>
      </c>
    </row>
    <row r="74" customFormat="false" ht="57.45" hidden="false" customHeight="false" outlineLevel="0" collapsed="false">
      <c r="A74" s="4" t="s">
        <v>1037</v>
      </c>
      <c r="B74" s="4" t="s">
        <v>1038</v>
      </c>
      <c r="C74" s="4" t="s">
        <v>1039</v>
      </c>
      <c r="D74" s="4" t="s">
        <v>61</v>
      </c>
      <c r="E74" s="4" t="s">
        <v>1040</v>
      </c>
      <c r="F74" s="4" t="s">
        <v>1041</v>
      </c>
      <c r="G74" s="4" t="s">
        <v>1042</v>
      </c>
      <c r="H74" s="4" t="s">
        <v>65</v>
      </c>
      <c r="I74" s="4" t="s">
        <v>128</v>
      </c>
      <c r="J74" s="4" t="s">
        <v>1043</v>
      </c>
      <c r="K74" s="4" t="s">
        <v>1044</v>
      </c>
      <c r="L74" s="5" t="s">
        <v>85</v>
      </c>
      <c r="M74" s="4" t="s">
        <v>1045</v>
      </c>
      <c r="N74" s="4" t="s">
        <v>85</v>
      </c>
      <c r="O74" s="4" t="s">
        <v>1046</v>
      </c>
      <c r="P74" s="4" t="s">
        <v>72</v>
      </c>
      <c r="Q74" s="4" t="s">
        <v>316</v>
      </c>
      <c r="R74" s="4" t="s">
        <v>74</v>
      </c>
      <c r="S74" s="4" t="s">
        <v>1047</v>
      </c>
      <c r="T74" s="4" t="s">
        <v>1048</v>
      </c>
      <c r="U74" s="4" t="s">
        <v>1049</v>
      </c>
      <c r="V74" s="4"/>
      <c r="W74" s="4" t="s">
        <v>253</v>
      </c>
      <c r="X74" s="4" t="s">
        <v>1022</v>
      </c>
      <c r="Y74" s="4" t="s">
        <v>78</v>
      </c>
    </row>
    <row r="75" customFormat="false" ht="35.05" hidden="false" customHeight="false" outlineLevel="0" collapsed="false">
      <c r="A75" s="4" t="s">
        <v>1050</v>
      </c>
      <c r="B75" s="4" t="s">
        <v>1051</v>
      </c>
      <c r="C75" s="4" t="s">
        <v>1052</v>
      </c>
      <c r="D75" s="4" t="s">
        <v>61</v>
      </c>
      <c r="E75" s="4" t="s">
        <v>1040</v>
      </c>
      <c r="F75" s="4" t="s">
        <v>1053</v>
      </c>
      <c r="G75" s="4" t="s">
        <v>127</v>
      </c>
      <c r="H75" s="4" t="s">
        <v>61</v>
      </c>
      <c r="I75" s="4" t="s">
        <v>128</v>
      </c>
      <c r="J75" s="4" t="s">
        <v>1054</v>
      </c>
      <c r="K75" s="4" t="s">
        <v>1055</v>
      </c>
      <c r="L75" s="5" t="s">
        <v>85</v>
      </c>
      <c r="M75" s="4" t="s">
        <v>85</v>
      </c>
      <c r="N75" s="4" t="s">
        <v>85</v>
      </c>
      <c r="O75" s="4" t="s">
        <v>1056</v>
      </c>
      <c r="P75" s="4" t="s">
        <v>72</v>
      </c>
      <c r="Q75" s="4" t="s">
        <v>73</v>
      </c>
      <c r="R75" s="4" t="s">
        <v>74</v>
      </c>
      <c r="S75" s="4" t="s">
        <v>1057</v>
      </c>
      <c r="T75" s="4" t="s">
        <v>1058</v>
      </c>
      <c r="U75" s="4" t="s">
        <v>1059</v>
      </c>
      <c r="V75" s="4"/>
      <c r="W75" s="4" t="s">
        <v>61</v>
      </c>
      <c r="X75" s="4" t="s">
        <v>1022</v>
      </c>
      <c r="Y75" s="4" t="s">
        <v>78</v>
      </c>
    </row>
    <row r="76" customFormat="false" ht="23.85" hidden="false" customHeight="false" outlineLevel="0" collapsed="false">
      <c r="A76" s="4" t="s">
        <v>1060</v>
      </c>
      <c r="B76" s="4" t="s">
        <v>1061</v>
      </c>
      <c r="C76" s="4" t="s">
        <v>1062</v>
      </c>
      <c r="D76" s="4" t="s">
        <v>61</v>
      </c>
      <c r="E76" s="4" t="s">
        <v>1040</v>
      </c>
      <c r="F76" s="4" t="s">
        <v>1063</v>
      </c>
      <c r="G76" s="4" t="s">
        <v>1064</v>
      </c>
      <c r="H76" s="4" t="s">
        <v>65</v>
      </c>
      <c r="I76" s="4" t="s">
        <v>128</v>
      </c>
      <c r="J76" s="4" t="s">
        <v>128</v>
      </c>
      <c r="K76" s="4" t="s">
        <v>85</v>
      </c>
      <c r="L76" s="5" t="s">
        <v>85</v>
      </c>
      <c r="M76" s="4" t="s">
        <v>85</v>
      </c>
      <c r="N76" s="4" t="s">
        <v>85</v>
      </c>
      <c r="O76" s="4" t="s">
        <v>1065</v>
      </c>
      <c r="P76" s="4" t="s">
        <v>72</v>
      </c>
      <c r="Q76" s="4" t="s">
        <v>73</v>
      </c>
      <c r="R76" s="4" t="s">
        <v>74</v>
      </c>
      <c r="S76" s="4" t="s">
        <v>1066</v>
      </c>
      <c r="T76" s="4" t="s">
        <v>1067</v>
      </c>
      <c r="U76" s="4" t="s">
        <v>1068</v>
      </c>
      <c r="V76" s="4"/>
      <c r="W76" s="4" t="s">
        <v>253</v>
      </c>
      <c r="X76" s="4" t="s">
        <v>1022</v>
      </c>
      <c r="Y76" s="4" t="s">
        <v>78</v>
      </c>
    </row>
    <row r="77" customFormat="false" ht="35.05" hidden="false" customHeight="false" outlineLevel="0" collapsed="false">
      <c r="A77" s="4" t="s">
        <v>1069</v>
      </c>
      <c r="B77" s="4" t="s">
        <v>1070</v>
      </c>
      <c r="C77" s="4" t="s">
        <v>1071</v>
      </c>
      <c r="D77" s="4" t="s">
        <v>61</v>
      </c>
      <c r="E77" s="4" t="s">
        <v>1040</v>
      </c>
      <c r="F77" s="4" t="s">
        <v>1072</v>
      </c>
      <c r="G77" s="4" t="s">
        <v>1073</v>
      </c>
      <c r="H77" s="4" t="s">
        <v>61</v>
      </c>
      <c r="I77" s="4" t="s">
        <v>97</v>
      </c>
      <c r="J77" s="4" t="s">
        <v>1074</v>
      </c>
      <c r="K77" s="4" t="s">
        <v>1075</v>
      </c>
      <c r="L77" s="5" t="s">
        <v>85</v>
      </c>
      <c r="M77" s="4" t="s">
        <v>1076</v>
      </c>
      <c r="N77" s="4" t="s">
        <v>85</v>
      </c>
      <c r="O77" s="4" t="s">
        <v>1077</v>
      </c>
      <c r="P77" s="4" t="s">
        <v>103</v>
      </c>
      <c r="Q77" s="4" t="s">
        <v>316</v>
      </c>
      <c r="R77" s="4" t="s">
        <v>74</v>
      </c>
      <c r="S77" s="4" t="s">
        <v>1078</v>
      </c>
      <c r="T77" s="4" t="s">
        <v>1079</v>
      </c>
      <c r="U77" s="4" t="s">
        <v>1080</v>
      </c>
      <c r="V77" s="4"/>
      <c r="W77" s="4" t="s">
        <v>61</v>
      </c>
      <c r="X77" s="4" t="s">
        <v>1022</v>
      </c>
      <c r="Y77" s="4" t="s">
        <v>78</v>
      </c>
    </row>
    <row r="78" customFormat="false" ht="57.45" hidden="false" customHeight="false" outlineLevel="0" collapsed="false">
      <c r="A78" s="4" t="s">
        <v>1081</v>
      </c>
      <c r="B78" s="4" t="s">
        <v>1082</v>
      </c>
      <c r="C78" s="4" t="s">
        <v>1083</v>
      </c>
      <c r="D78" s="4" t="s">
        <v>61</v>
      </c>
      <c r="E78" s="4" t="s">
        <v>1040</v>
      </c>
      <c r="F78" s="4" t="s">
        <v>1084</v>
      </c>
      <c r="G78" s="4" t="s">
        <v>127</v>
      </c>
      <c r="H78" s="4" t="s">
        <v>61</v>
      </c>
      <c r="I78" s="4" t="s">
        <v>128</v>
      </c>
      <c r="J78" s="4" t="s">
        <v>1085</v>
      </c>
      <c r="K78" s="4" t="s">
        <v>1070</v>
      </c>
      <c r="L78" s="5" t="s">
        <v>85</v>
      </c>
      <c r="M78" s="4" t="s">
        <v>85</v>
      </c>
      <c r="N78" s="4" t="s">
        <v>85</v>
      </c>
      <c r="O78" s="4" t="s">
        <v>1086</v>
      </c>
      <c r="P78" s="4" t="s">
        <v>72</v>
      </c>
      <c r="Q78" s="4" t="s">
        <v>73</v>
      </c>
      <c r="R78" s="4" t="s">
        <v>1087</v>
      </c>
      <c r="S78" s="4" t="s">
        <v>1088</v>
      </c>
      <c r="T78" s="4" t="s">
        <v>1089</v>
      </c>
      <c r="U78" s="4" t="s">
        <v>1090</v>
      </c>
      <c r="V78" s="4"/>
      <c r="W78" s="4" t="s">
        <v>61</v>
      </c>
      <c r="X78" s="4" t="s">
        <v>1022</v>
      </c>
      <c r="Y78" s="4" t="s">
        <v>78</v>
      </c>
    </row>
    <row r="79" customFormat="false" ht="35.05" hidden="false" customHeight="false" outlineLevel="0" collapsed="false">
      <c r="A79" s="4" t="s">
        <v>1091</v>
      </c>
      <c r="B79" s="4" t="s">
        <v>1092</v>
      </c>
      <c r="C79" s="4" t="s">
        <v>1093</v>
      </c>
      <c r="D79" s="4" t="s">
        <v>61</v>
      </c>
      <c r="E79" s="4" t="s">
        <v>1040</v>
      </c>
      <c r="F79" s="4" t="s">
        <v>1094</v>
      </c>
      <c r="G79" s="4" t="s">
        <v>1095</v>
      </c>
      <c r="H79" s="4" t="s">
        <v>61</v>
      </c>
      <c r="I79" s="4" t="s">
        <v>128</v>
      </c>
      <c r="J79" s="4" t="s">
        <v>128</v>
      </c>
      <c r="K79" s="4" t="s">
        <v>1082</v>
      </c>
      <c r="L79" s="5" t="s">
        <v>85</v>
      </c>
      <c r="M79" s="4" t="s">
        <v>85</v>
      </c>
      <c r="N79" s="4" t="s">
        <v>85</v>
      </c>
      <c r="O79" s="4" t="s">
        <v>1096</v>
      </c>
      <c r="P79" s="4" t="s">
        <v>72</v>
      </c>
      <c r="Q79" s="4" t="s">
        <v>73</v>
      </c>
      <c r="R79" s="4" t="s">
        <v>74</v>
      </c>
      <c r="S79" s="4" t="s">
        <v>1097</v>
      </c>
      <c r="T79" s="4" t="s">
        <v>1098</v>
      </c>
      <c r="U79" s="4" t="s">
        <v>1099</v>
      </c>
      <c r="V79" s="4"/>
      <c r="W79" s="4" t="s">
        <v>268</v>
      </c>
      <c r="X79" s="4" t="s">
        <v>1022</v>
      </c>
      <c r="Y79" s="4" t="s">
        <v>78</v>
      </c>
    </row>
    <row r="80" customFormat="false" ht="46.25" hidden="false" customHeight="false" outlineLevel="0" collapsed="false">
      <c r="A80" s="4" t="s">
        <v>1100</v>
      </c>
      <c r="B80" s="4" t="s">
        <v>1101</v>
      </c>
      <c r="C80" s="4" t="s">
        <v>1102</v>
      </c>
      <c r="D80" s="4" t="s">
        <v>61</v>
      </c>
      <c r="E80" s="4" t="s">
        <v>1040</v>
      </c>
      <c r="F80" s="4" t="s">
        <v>1103</v>
      </c>
      <c r="G80" s="4" t="s">
        <v>1064</v>
      </c>
      <c r="H80" s="4" t="s">
        <v>65</v>
      </c>
      <c r="I80" s="4" t="s">
        <v>128</v>
      </c>
      <c r="J80" s="4" t="s">
        <v>128</v>
      </c>
      <c r="K80" s="4" t="s">
        <v>1104</v>
      </c>
      <c r="L80" s="5" t="s">
        <v>85</v>
      </c>
      <c r="M80" s="4" t="s">
        <v>85</v>
      </c>
      <c r="N80" s="4" t="s">
        <v>85</v>
      </c>
      <c r="O80" s="4" t="s">
        <v>1105</v>
      </c>
      <c r="P80" s="4" t="s">
        <v>72</v>
      </c>
      <c r="Q80" s="4" t="s">
        <v>316</v>
      </c>
      <c r="R80" s="4" t="s">
        <v>74</v>
      </c>
      <c r="S80" s="4" t="s">
        <v>1106</v>
      </c>
      <c r="T80" s="4" t="s">
        <v>1107</v>
      </c>
      <c r="U80" s="4" t="s">
        <v>1108</v>
      </c>
      <c r="V80" s="4"/>
      <c r="W80" s="4" t="s">
        <v>253</v>
      </c>
      <c r="X80" s="4" t="s">
        <v>1022</v>
      </c>
      <c r="Y80" s="4" t="s">
        <v>78</v>
      </c>
    </row>
    <row r="81" customFormat="false" ht="91" hidden="false" customHeight="false" outlineLevel="0" collapsed="false">
      <c r="A81" s="4" t="s">
        <v>1109</v>
      </c>
      <c r="B81" s="4" t="s">
        <v>1110</v>
      </c>
      <c r="C81" s="4" t="s">
        <v>1111</v>
      </c>
      <c r="D81" s="4" t="s">
        <v>61</v>
      </c>
      <c r="E81" s="4" t="s">
        <v>1040</v>
      </c>
      <c r="F81" s="4" t="s">
        <v>1112</v>
      </c>
      <c r="G81" s="4" t="s">
        <v>1113</v>
      </c>
      <c r="H81" s="4" t="s">
        <v>65</v>
      </c>
      <c r="I81" s="4" t="s">
        <v>97</v>
      </c>
      <c r="J81" s="4" t="s">
        <v>1114</v>
      </c>
      <c r="K81" s="4" t="s">
        <v>1115</v>
      </c>
      <c r="L81" s="5" t="s">
        <v>85</v>
      </c>
      <c r="M81" s="4" t="s">
        <v>1116</v>
      </c>
      <c r="N81" s="4" t="s">
        <v>1117</v>
      </c>
      <c r="O81" s="4" t="s">
        <v>1118</v>
      </c>
      <c r="P81" s="4" t="s">
        <v>103</v>
      </c>
      <c r="Q81" s="4" t="s">
        <v>316</v>
      </c>
      <c r="R81" s="4" t="s">
        <v>74</v>
      </c>
      <c r="S81" s="4" t="s">
        <v>1119</v>
      </c>
      <c r="T81" s="4" t="s">
        <v>1120</v>
      </c>
      <c r="U81" s="4" t="s">
        <v>1121</v>
      </c>
      <c r="V81" s="4" t="s">
        <v>1122</v>
      </c>
      <c r="W81" s="4" t="s">
        <v>1123</v>
      </c>
      <c r="X81" s="4" t="s">
        <v>1022</v>
      </c>
      <c r="Y81" s="4" t="s">
        <v>78</v>
      </c>
    </row>
    <row r="82" customFormat="false" ht="68.65" hidden="false" customHeight="false" outlineLevel="0" collapsed="false">
      <c r="A82" s="4" t="s">
        <v>1124</v>
      </c>
      <c r="B82" s="4" t="s">
        <v>1125</v>
      </c>
      <c r="C82" s="4" t="s">
        <v>1126</v>
      </c>
      <c r="D82" s="4" t="s">
        <v>61</v>
      </c>
      <c r="E82" s="4" t="s">
        <v>1040</v>
      </c>
      <c r="F82" s="4" t="s">
        <v>1127</v>
      </c>
      <c r="G82" s="4" t="s">
        <v>1128</v>
      </c>
      <c r="H82" s="4" t="s">
        <v>61</v>
      </c>
      <c r="I82" s="4" t="s">
        <v>97</v>
      </c>
      <c r="J82" s="4" t="s">
        <v>1129</v>
      </c>
      <c r="K82" s="4" t="s">
        <v>1130</v>
      </c>
      <c r="L82" s="5" t="s">
        <v>85</v>
      </c>
      <c r="M82" s="4" t="s">
        <v>85</v>
      </c>
      <c r="N82" s="4" t="s">
        <v>1131</v>
      </c>
      <c r="O82" s="4" t="s">
        <v>1132</v>
      </c>
      <c r="P82" s="4" t="s">
        <v>103</v>
      </c>
      <c r="Q82" s="4" t="s">
        <v>316</v>
      </c>
      <c r="R82" s="4" t="s">
        <v>74</v>
      </c>
      <c r="S82" s="4" t="s">
        <v>1133</v>
      </c>
      <c r="T82" s="4" t="s">
        <v>1134</v>
      </c>
      <c r="U82" s="4" t="s">
        <v>1135</v>
      </c>
      <c r="V82" s="4" t="s">
        <v>1136</v>
      </c>
      <c r="W82" s="4" t="s">
        <v>1137</v>
      </c>
      <c r="X82" s="4" t="s">
        <v>1022</v>
      </c>
      <c r="Y82" s="4" t="s">
        <v>161</v>
      </c>
    </row>
    <row r="83" customFormat="false" ht="102.2" hidden="false" customHeight="false" outlineLevel="0" collapsed="false">
      <c r="A83" s="4" t="s">
        <v>1138</v>
      </c>
      <c r="B83" s="4" t="s">
        <v>1139</v>
      </c>
      <c r="C83" s="4" t="s">
        <v>1140</v>
      </c>
      <c r="D83" s="4" t="s">
        <v>61</v>
      </c>
      <c r="E83" s="4" t="s">
        <v>1040</v>
      </c>
      <c r="F83" s="4" t="s">
        <v>1141</v>
      </c>
      <c r="G83" s="4" t="s">
        <v>1142</v>
      </c>
      <c r="H83" s="4" t="s">
        <v>65</v>
      </c>
      <c r="I83" s="4" t="s">
        <v>128</v>
      </c>
      <c r="J83" s="4" t="s">
        <v>1143</v>
      </c>
      <c r="K83" s="4" t="s">
        <v>1144</v>
      </c>
      <c r="L83" s="5" t="s">
        <v>85</v>
      </c>
      <c r="M83" s="4" t="s">
        <v>1145</v>
      </c>
      <c r="N83" s="4" t="s">
        <v>85</v>
      </c>
      <c r="O83" s="4" t="s">
        <v>1146</v>
      </c>
      <c r="P83" s="4" t="s">
        <v>103</v>
      </c>
      <c r="Q83" s="4" t="s">
        <v>316</v>
      </c>
      <c r="R83" s="4" t="s">
        <v>74</v>
      </c>
      <c r="S83" s="4" t="s">
        <v>1147</v>
      </c>
      <c r="T83" s="4" t="s">
        <v>1148</v>
      </c>
      <c r="U83" s="4" t="s">
        <v>1149</v>
      </c>
      <c r="V83" s="4" t="s">
        <v>1150</v>
      </c>
      <c r="W83" s="4" t="s">
        <v>1151</v>
      </c>
      <c r="X83" s="4" t="s">
        <v>1022</v>
      </c>
      <c r="Y83" s="4" t="s">
        <v>161</v>
      </c>
    </row>
    <row r="84" customFormat="false" ht="35.05" hidden="false" customHeight="false" outlineLevel="0" collapsed="false">
      <c r="A84" s="4" t="s">
        <v>1152</v>
      </c>
      <c r="B84" s="4" t="s">
        <v>1153</v>
      </c>
      <c r="C84" s="4" t="s">
        <v>1154</v>
      </c>
      <c r="D84" s="4" t="s">
        <v>65</v>
      </c>
      <c r="E84" s="4" t="s">
        <v>1040</v>
      </c>
      <c r="F84" s="4" t="s">
        <v>1155</v>
      </c>
      <c r="G84" s="4" t="s">
        <v>1156</v>
      </c>
      <c r="H84" s="4" t="s">
        <v>61</v>
      </c>
      <c r="I84" s="4" t="s">
        <v>97</v>
      </c>
      <c r="J84" s="4" t="s">
        <v>1157</v>
      </c>
      <c r="K84" s="4" t="s">
        <v>1158</v>
      </c>
      <c r="L84" s="5" t="s">
        <v>85</v>
      </c>
      <c r="M84" s="4" t="s">
        <v>1159</v>
      </c>
      <c r="N84" s="4" t="s">
        <v>85</v>
      </c>
      <c r="O84" s="4" t="s">
        <v>1160</v>
      </c>
      <c r="P84" s="4" t="s">
        <v>72</v>
      </c>
      <c r="Q84" s="4" t="s">
        <v>73</v>
      </c>
      <c r="R84" s="4" t="s">
        <v>74</v>
      </c>
      <c r="S84" s="4" t="s">
        <v>1161</v>
      </c>
      <c r="T84" s="4" t="s">
        <v>1162</v>
      </c>
      <c r="U84" s="4" t="s">
        <v>1163</v>
      </c>
      <c r="V84" s="4" t="s">
        <v>1164</v>
      </c>
      <c r="W84" s="4" t="s">
        <v>1165</v>
      </c>
      <c r="X84" s="4" t="s">
        <v>1166</v>
      </c>
      <c r="Y84" s="4" t="s">
        <v>748</v>
      </c>
    </row>
    <row r="85" customFormat="false" ht="68.65" hidden="false" customHeight="false" outlineLevel="0" collapsed="false">
      <c r="A85" s="4" t="s">
        <v>1167</v>
      </c>
      <c r="B85" s="4" t="s">
        <v>1168</v>
      </c>
      <c r="C85" s="4" t="s">
        <v>1169</v>
      </c>
      <c r="D85" s="4" t="s">
        <v>61</v>
      </c>
      <c r="E85" s="4" t="s">
        <v>1040</v>
      </c>
      <c r="F85" s="4" t="s">
        <v>1170</v>
      </c>
      <c r="G85" s="4" t="s">
        <v>1171</v>
      </c>
      <c r="H85" s="4" t="s">
        <v>61</v>
      </c>
      <c r="I85" s="4" t="s">
        <v>97</v>
      </c>
      <c r="J85" s="4" t="s">
        <v>1172</v>
      </c>
      <c r="K85" s="4" t="s">
        <v>1158</v>
      </c>
      <c r="L85" s="5" t="s">
        <v>85</v>
      </c>
      <c r="M85" s="4" t="s">
        <v>85</v>
      </c>
      <c r="N85" s="4" t="s">
        <v>85</v>
      </c>
      <c r="O85" s="4" t="s">
        <v>1173</v>
      </c>
      <c r="P85" s="4" t="s">
        <v>72</v>
      </c>
      <c r="Q85" s="4" t="s">
        <v>316</v>
      </c>
      <c r="R85" s="4" t="s">
        <v>1174</v>
      </c>
      <c r="S85" s="4" t="s">
        <v>1175</v>
      </c>
      <c r="T85" s="4" t="s">
        <v>1176</v>
      </c>
      <c r="U85" s="4" t="s">
        <v>1177</v>
      </c>
      <c r="V85" s="4"/>
      <c r="W85" s="4" t="s">
        <v>61</v>
      </c>
      <c r="X85" s="4" t="s">
        <v>1166</v>
      </c>
      <c r="Y85" s="4" t="s">
        <v>748</v>
      </c>
    </row>
    <row r="86" customFormat="false" ht="46.25" hidden="false" customHeight="false" outlineLevel="0" collapsed="false">
      <c r="A86" s="4" t="s">
        <v>1178</v>
      </c>
      <c r="B86" s="4" t="s">
        <v>1179</v>
      </c>
      <c r="C86" s="4" t="s">
        <v>1180</v>
      </c>
      <c r="D86" s="4" t="s">
        <v>65</v>
      </c>
      <c r="E86" s="4" t="s">
        <v>1040</v>
      </c>
      <c r="F86" s="4" t="s">
        <v>1181</v>
      </c>
      <c r="G86" s="4" t="s">
        <v>1182</v>
      </c>
      <c r="H86" s="4" t="s">
        <v>65</v>
      </c>
      <c r="I86" s="4" t="s">
        <v>97</v>
      </c>
      <c r="J86" s="4" t="s">
        <v>1183</v>
      </c>
      <c r="K86" s="4" t="s">
        <v>1184</v>
      </c>
      <c r="L86" s="5" t="s">
        <v>85</v>
      </c>
      <c r="M86" s="4" t="s">
        <v>85</v>
      </c>
      <c r="N86" s="4" t="s">
        <v>85</v>
      </c>
      <c r="O86" s="4" t="s">
        <v>1185</v>
      </c>
      <c r="P86" s="4" t="s">
        <v>72</v>
      </c>
      <c r="Q86" s="4" t="s">
        <v>73</v>
      </c>
      <c r="R86" s="4" t="s">
        <v>74</v>
      </c>
      <c r="S86" s="4" t="s">
        <v>1186</v>
      </c>
      <c r="T86" s="4" t="s">
        <v>1187</v>
      </c>
      <c r="U86" s="4" t="s">
        <v>1188</v>
      </c>
      <c r="V86" s="4"/>
      <c r="W86" s="4" t="s">
        <v>1189</v>
      </c>
      <c r="X86" s="4" t="s">
        <v>1166</v>
      </c>
      <c r="Y86" s="4" t="s">
        <v>748</v>
      </c>
    </row>
    <row r="87" customFormat="false" ht="35.05" hidden="false" customHeight="false" outlineLevel="0" collapsed="false">
      <c r="A87" s="4" t="s">
        <v>1190</v>
      </c>
      <c r="B87" s="4" t="s">
        <v>1191</v>
      </c>
      <c r="C87" s="4" t="s">
        <v>1192</v>
      </c>
      <c r="D87" s="4" t="s">
        <v>65</v>
      </c>
      <c r="E87" s="4" t="s">
        <v>1040</v>
      </c>
      <c r="F87" s="4" t="s">
        <v>1193</v>
      </c>
      <c r="G87" s="4" t="s">
        <v>1194</v>
      </c>
      <c r="H87" s="4" t="s">
        <v>61</v>
      </c>
      <c r="I87" s="4" t="s">
        <v>66</v>
      </c>
      <c r="J87" s="4" t="s">
        <v>1195</v>
      </c>
      <c r="K87" s="4" t="s">
        <v>1196</v>
      </c>
      <c r="L87" s="5" t="s">
        <v>85</v>
      </c>
      <c r="M87" s="4" t="s">
        <v>85</v>
      </c>
      <c r="N87" s="4" t="s">
        <v>1197</v>
      </c>
      <c r="O87" s="4" t="s">
        <v>1198</v>
      </c>
      <c r="P87" s="4" t="s">
        <v>72</v>
      </c>
      <c r="Q87" s="4" t="s">
        <v>73</v>
      </c>
      <c r="R87" s="4" t="s">
        <v>74</v>
      </c>
      <c r="S87" s="4" t="s">
        <v>1199</v>
      </c>
      <c r="T87" s="4" t="s">
        <v>144</v>
      </c>
      <c r="U87" s="4" t="s">
        <v>1200</v>
      </c>
      <c r="V87" s="4" t="s">
        <v>1201</v>
      </c>
      <c r="W87" s="4" t="s">
        <v>61</v>
      </c>
      <c r="X87" s="4" t="s">
        <v>1166</v>
      </c>
      <c r="Y87" s="4" t="s">
        <v>748</v>
      </c>
    </row>
    <row r="88" customFormat="false" ht="23.85" hidden="false" customHeight="false" outlineLevel="0" collapsed="false">
      <c r="A88" s="4" t="s">
        <v>1202</v>
      </c>
      <c r="B88" s="4" t="s">
        <v>1203</v>
      </c>
      <c r="C88" s="4" t="s">
        <v>1204</v>
      </c>
      <c r="D88" s="4" t="s">
        <v>65</v>
      </c>
      <c r="E88" s="4" t="s">
        <v>1040</v>
      </c>
      <c r="F88" s="4" t="s">
        <v>1205</v>
      </c>
      <c r="G88" s="4" t="s">
        <v>1206</v>
      </c>
      <c r="H88" s="4" t="s">
        <v>61</v>
      </c>
      <c r="I88" s="4" t="s">
        <v>66</v>
      </c>
      <c r="J88" s="4" t="s">
        <v>1207</v>
      </c>
      <c r="K88" s="4" t="s">
        <v>1191</v>
      </c>
      <c r="L88" s="5" t="s">
        <v>85</v>
      </c>
      <c r="M88" s="4" t="s">
        <v>85</v>
      </c>
      <c r="N88" s="4" t="s">
        <v>977</v>
      </c>
      <c r="O88" s="4" t="s">
        <v>1208</v>
      </c>
      <c r="P88" s="4" t="s">
        <v>72</v>
      </c>
      <c r="Q88" s="4" t="s">
        <v>73</v>
      </c>
      <c r="R88" s="4" t="s">
        <v>74</v>
      </c>
      <c r="S88" s="4" t="s">
        <v>1209</v>
      </c>
      <c r="T88" s="4" t="s">
        <v>144</v>
      </c>
      <c r="U88" s="4" t="s">
        <v>69</v>
      </c>
      <c r="V88" s="4"/>
      <c r="W88" s="4" t="s">
        <v>61</v>
      </c>
      <c r="X88" s="4" t="s">
        <v>1166</v>
      </c>
      <c r="Y88" s="4" t="s">
        <v>748</v>
      </c>
    </row>
    <row r="89" customFormat="false" ht="57.45" hidden="false" customHeight="false" outlineLevel="0" collapsed="false">
      <c r="A89" s="4" t="s">
        <v>1210</v>
      </c>
      <c r="B89" s="4" t="s">
        <v>1211</v>
      </c>
      <c r="C89" s="4" t="s">
        <v>1212</v>
      </c>
      <c r="D89" s="4" t="s">
        <v>65</v>
      </c>
      <c r="E89" s="4" t="s">
        <v>1040</v>
      </c>
      <c r="F89" s="4" t="s">
        <v>1213</v>
      </c>
      <c r="G89" s="4" t="s">
        <v>1214</v>
      </c>
      <c r="H89" s="4" t="s">
        <v>65</v>
      </c>
      <c r="I89" s="4" t="s">
        <v>97</v>
      </c>
      <c r="J89" s="4" t="s">
        <v>1215</v>
      </c>
      <c r="K89" s="4" t="s">
        <v>1216</v>
      </c>
      <c r="L89" s="5" t="s">
        <v>85</v>
      </c>
      <c r="M89" s="4" t="s">
        <v>1217</v>
      </c>
      <c r="N89" s="4" t="s">
        <v>1218</v>
      </c>
      <c r="O89" s="4" t="s">
        <v>1219</v>
      </c>
      <c r="P89" s="4" t="s">
        <v>103</v>
      </c>
      <c r="Q89" s="4" t="s">
        <v>316</v>
      </c>
      <c r="R89" s="4" t="s">
        <v>74</v>
      </c>
      <c r="S89" s="4" t="s">
        <v>1220</v>
      </c>
      <c r="T89" s="4" t="s">
        <v>1221</v>
      </c>
      <c r="U89" s="4" t="s">
        <v>1222</v>
      </c>
      <c r="V89" s="4"/>
      <c r="W89" s="4" t="s">
        <v>1223</v>
      </c>
      <c r="X89" s="4" t="s">
        <v>1166</v>
      </c>
      <c r="Y89" s="4" t="s">
        <v>748</v>
      </c>
    </row>
    <row r="90" customFormat="false" ht="191.75" hidden="false" customHeight="false" outlineLevel="0" collapsed="false">
      <c r="A90" s="4" t="s">
        <v>1224</v>
      </c>
      <c r="B90" s="4" t="s">
        <v>1225</v>
      </c>
      <c r="C90" s="4" t="s">
        <v>1226</v>
      </c>
      <c r="D90" s="4" t="s">
        <v>65</v>
      </c>
      <c r="E90" s="4" t="s">
        <v>1040</v>
      </c>
      <c r="F90" s="4" t="s">
        <v>1227</v>
      </c>
      <c r="G90" s="4" t="s">
        <v>1228</v>
      </c>
      <c r="H90" s="4" t="s">
        <v>65</v>
      </c>
      <c r="I90" s="4" t="s">
        <v>97</v>
      </c>
      <c r="J90" s="4" t="s">
        <v>1229</v>
      </c>
      <c r="K90" s="4" t="s">
        <v>1230</v>
      </c>
      <c r="L90" s="5" t="s">
        <v>85</v>
      </c>
      <c r="M90" s="4" t="s">
        <v>1231</v>
      </c>
      <c r="N90" s="4" t="s">
        <v>1232</v>
      </c>
      <c r="O90" s="4" t="s">
        <v>1233</v>
      </c>
      <c r="P90" s="4" t="s">
        <v>103</v>
      </c>
      <c r="Q90" s="4" t="s">
        <v>316</v>
      </c>
      <c r="R90" s="4" t="s">
        <v>74</v>
      </c>
      <c r="S90" s="4" t="s">
        <v>1234</v>
      </c>
      <c r="T90" s="4" t="s">
        <v>1235</v>
      </c>
      <c r="U90" s="4" t="s">
        <v>1236</v>
      </c>
      <c r="V90" s="4" t="s">
        <v>1237</v>
      </c>
      <c r="W90" s="4" t="s">
        <v>1238</v>
      </c>
      <c r="X90" s="4" t="s">
        <v>1166</v>
      </c>
      <c r="Y90" s="4" t="s">
        <v>678</v>
      </c>
    </row>
    <row r="91" customFormat="false" ht="68.65" hidden="false" customHeight="false" outlineLevel="0" collapsed="false">
      <c r="A91" s="4" t="s">
        <v>1239</v>
      </c>
      <c r="B91" s="4" t="s">
        <v>1240</v>
      </c>
      <c r="C91" s="4" t="s">
        <v>1241</v>
      </c>
      <c r="D91" s="4" t="s">
        <v>61</v>
      </c>
      <c r="E91" s="4" t="s">
        <v>1040</v>
      </c>
      <c r="F91" s="4" t="s">
        <v>1242</v>
      </c>
      <c r="G91" s="4" t="s">
        <v>1243</v>
      </c>
      <c r="H91" s="4" t="s">
        <v>65</v>
      </c>
      <c r="I91" s="4" t="s">
        <v>128</v>
      </c>
      <c r="J91" s="4" t="s">
        <v>1244</v>
      </c>
      <c r="K91" s="4" t="s">
        <v>1245</v>
      </c>
      <c r="L91" s="5" t="s">
        <v>85</v>
      </c>
      <c r="M91" s="4" t="s">
        <v>1246</v>
      </c>
      <c r="N91" s="4" t="s">
        <v>85</v>
      </c>
      <c r="O91" s="4" t="s">
        <v>1247</v>
      </c>
      <c r="P91" s="4" t="s">
        <v>72</v>
      </c>
      <c r="Q91" s="4" t="s">
        <v>316</v>
      </c>
      <c r="R91" s="4" t="s">
        <v>74</v>
      </c>
      <c r="S91" s="4" t="s">
        <v>1248</v>
      </c>
      <c r="T91" s="4" t="s">
        <v>1249</v>
      </c>
      <c r="U91" s="4" t="s">
        <v>1250</v>
      </c>
      <c r="V91" s="4"/>
      <c r="W91" s="4" t="s">
        <v>1251</v>
      </c>
      <c r="X91" s="4" t="s">
        <v>376</v>
      </c>
      <c r="Y91" s="4" t="s">
        <v>678</v>
      </c>
    </row>
    <row r="92" customFormat="false" ht="68.65" hidden="false" customHeight="false" outlineLevel="0" collapsed="false">
      <c r="A92" s="4" t="s">
        <v>1252</v>
      </c>
      <c r="B92" s="4" t="s">
        <v>1253</v>
      </c>
      <c r="C92" s="4" t="s">
        <v>1254</v>
      </c>
      <c r="D92" s="4" t="s">
        <v>61</v>
      </c>
      <c r="E92" s="4" t="s">
        <v>1040</v>
      </c>
      <c r="F92" s="4" t="s">
        <v>1255</v>
      </c>
      <c r="G92" s="4" t="s">
        <v>1256</v>
      </c>
      <c r="H92" s="4" t="s">
        <v>61</v>
      </c>
      <c r="I92" s="4" t="s">
        <v>128</v>
      </c>
      <c r="J92" s="4" t="s">
        <v>1257</v>
      </c>
      <c r="K92" s="4" t="s">
        <v>1258</v>
      </c>
      <c r="L92" s="5" t="s">
        <v>85</v>
      </c>
      <c r="M92" s="4" t="s">
        <v>85</v>
      </c>
      <c r="N92" s="4" t="s">
        <v>85</v>
      </c>
      <c r="O92" s="4" t="s">
        <v>1259</v>
      </c>
      <c r="P92" s="4" t="s">
        <v>72</v>
      </c>
      <c r="Q92" s="4" t="s">
        <v>73</v>
      </c>
      <c r="R92" s="4" t="s">
        <v>74</v>
      </c>
      <c r="S92" s="4" t="s">
        <v>1260</v>
      </c>
      <c r="T92" s="4" t="s">
        <v>1261</v>
      </c>
      <c r="U92" s="4" t="s">
        <v>1262</v>
      </c>
      <c r="V92" s="4"/>
      <c r="W92" s="4" t="s">
        <v>1263</v>
      </c>
      <c r="X92" s="4" t="s">
        <v>1022</v>
      </c>
      <c r="Y92" s="4" t="s">
        <v>678</v>
      </c>
    </row>
    <row r="93" customFormat="false" ht="135.8" hidden="false" customHeight="false" outlineLevel="0" collapsed="false">
      <c r="A93" s="4" t="s">
        <v>1264</v>
      </c>
      <c r="B93" s="4" t="s">
        <v>1265</v>
      </c>
      <c r="C93" s="4" t="s">
        <v>1266</v>
      </c>
      <c r="D93" s="4" t="s">
        <v>65</v>
      </c>
      <c r="E93" s="4" t="s">
        <v>1040</v>
      </c>
      <c r="F93" s="4" t="s">
        <v>1267</v>
      </c>
      <c r="G93" s="4" t="s">
        <v>1268</v>
      </c>
      <c r="H93" s="4" t="s">
        <v>61</v>
      </c>
      <c r="I93" s="4" t="s">
        <v>97</v>
      </c>
      <c r="J93" s="4" t="s">
        <v>1269</v>
      </c>
      <c r="K93" s="4" t="s">
        <v>1270</v>
      </c>
      <c r="L93" s="6" t="s">
        <v>221</v>
      </c>
      <c r="M93" s="4" t="s">
        <v>1271</v>
      </c>
      <c r="N93" s="4" t="s">
        <v>1272</v>
      </c>
      <c r="O93" s="4" t="s">
        <v>1273</v>
      </c>
      <c r="P93" s="4" t="s">
        <v>103</v>
      </c>
      <c r="Q93" s="4" t="s">
        <v>316</v>
      </c>
      <c r="R93" s="4" t="s">
        <v>1274</v>
      </c>
      <c r="S93" s="4" t="s">
        <v>1275</v>
      </c>
      <c r="T93" s="4" t="s">
        <v>1276</v>
      </c>
      <c r="U93" s="4" t="s">
        <v>1277</v>
      </c>
      <c r="V93" s="4"/>
      <c r="W93" s="4" t="s">
        <v>1278</v>
      </c>
      <c r="X93" s="4" t="s">
        <v>1279</v>
      </c>
      <c r="Y93" s="4" t="s">
        <v>678</v>
      </c>
    </row>
    <row r="94" customFormat="false" ht="79.85" hidden="false" customHeight="false" outlineLevel="0" collapsed="false">
      <c r="A94" s="4" t="s">
        <v>1280</v>
      </c>
      <c r="B94" s="4" t="s">
        <v>1281</v>
      </c>
      <c r="C94" s="4" t="s">
        <v>1282</v>
      </c>
      <c r="D94" s="4" t="s">
        <v>61</v>
      </c>
      <c r="E94" s="4" t="s">
        <v>1040</v>
      </c>
      <c r="F94" s="4" t="s">
        <v>1283</v>
      </c>
      <c r="G94" s="4" t="s">
        <v>1284</v>
      </c>
      <c r="H94" s="4" t="s">
        <v>65</v>
      </c>
      <c r="I94" s="4" t="s">
        <v>97</v>
      </c>
      <c r="J94" s="4" t="s">
        <v>1285</v>
      </c>
      <c r="K94" s="4" t="s">
        <v>1286</v>
      </c>
      <c r="L94" s="6" t="s">
        <v>221</v>
      </c>
      <c r="M94" s="4" t="s">
        <v>1287</v>
      </c>
      <c r="N94" s="4" t="s">
        <v>1288</v>
      </c>
      <c r="O94" s="4" t="s">
        <v>1289</v>
      </c>
      <c r="P94" s="4" t="s">
        <v>103</v>
      </c>
      <c r="Q94" s="4" t="s">
        <v>316</v>
      </c>
      <c r="R94" s="4" t="s">
        <v>74</v>
      </c>
      <c r="S94" s="4" t="s">
        <v>1290</v>
      </c>
      <c r="T94" s="4" t="s">
        <v>1291</v>
      </c>
      <c r="U94" s="4" t="s">
        <v>1292</v>
      </c>
      <c r="V94" s="4" t="s">
        <v>1293</v>
      </c>
      <c r="W94" s="4" t="s">
        <v>1294</v>
      </c>
      <c r="X94" s="4" t="s">
        <v>1022</v>
      </c>
      <c r="Y94" s="4" t="s">
        <v>390</v>
      </c>
    </row>
    <row r="95" customFormat="false" ht="68.65" hidden="false" customHeight="false" outlineLevel="0" collapsed="false">
      <c r="A95" s="4" t="s">
        <v>1295</v>
      </c>
      <c r="B95" s="4" t="s">
        <v>1296</v>
      </c>
      <c r="C95" s="4" t="s">
        <v>1297</v>
      </c>
      <c r="D95" s="4" t="s">
        <v>61</v>
      </c>
      <c r="E95" s="4" t="s">
        <v>1040</v>
      </c>
      <c r="F95" s="4" t="s">
        <v>1298</v>
      </c>
      <c r="G95" s="4" t="s">
        <v>1299</v>
      </c>
      <c r="H95" s="4" t="s">
        <v>65</v>
      </c>
      <c r="I95" s="4" t="s">
        <v>97</v>
      </c>
      <c r="J95" s="4" t="s">
        <v>1300</v>
      </c>
      <c r="K95" s="4" t="s">
        <v>1301</v>
      </c>
      <c r="L95" s="5" t="s">
        <v>85</v>
      </c>
      <c r="M95" s="4" t="s">
        <v>85</v>
      </c>
      <c r="N95" s="4" t="s">
        <v>85</v>
      </c>
      <c r="O95" s="4" t="s">
        <v>1302</v>
      </c>
      <c r="P95" s="4" t="s">
        <v>72</v>
      </c>
      <c r="Q95" s="4" t="s">
        <v>316</v>
      </c>
      <c r="R95" s="4" t="s">
        <v>1303</v>
      </c>
      <c r="S95" s="4" t="s">
        <v>1304</v>
      </c>
      <c r="T95" s="4" t="s">
        <v>1305</v>
      </c>
      <c r="U95" s="4" t="s">
        <v>1306</v>
      </c>
      <c r="V95" s="4"/>
      <c r="W95" s="4" t="s">
        <v>1307</v>
      </c>
      <c r="X95" s="4" t="s">
        <v>1022</v>
      </c>
      <c r="Y95" s="4" t="s">
        <v>390</v>
      </c>
    </row>
    <row r="96" customFormat="false" ht="46.25" hidden="false" customHeight="false" outlineLevel="0" collapsed="false">
      <c r="A96" s="4" t="s">
        <v>1308</v>
      </c>
      <c r="B96" s="4" t="s">
        <v>1309</v>
      </c>
      <c r="C96" s="4" t="s">
        <v>1310</v>
      </c>
      <c r="D96" s="4" t="s">
        <v>61</v>
      </c>
      <c r="E96" s="4" t="s">
        <v>1311</v>
      </c>
      <c r="F96" s="4" t="s">
        <v>1312</v>
      </c>
      <c r="G96" s="4" t="s">
        <v>127</v>
      </c>
      <c r="H96" s="4" t="s">
        <v>61</v>
      </c>
      <c r="I96" s="4" t="s">
        <v>128</v>
      </c>
      <c r="J96" s="4" t="s">
        <v>1313</v>
      </c>
      <c r="K96" s="4" t="s">
        <v>85</v>
      </c>
      <c r="L96" s="5" t="s">
        <v>85</v>
      </c>
      <c r="M96" s="4" t="s">
        <v>85</v>
      </c>
      <c r="N96" s="4" t="s">
        <v>1314</v>
      </c>
      <c r="O96" s="4" t="s">
        <v>1315</v>
      </c>
      <c r="P96" s="4" t="s">
        <v>72</v>
      </c>
      <c r="Q96" s="4" t="s">
        <v>73</v>
      </c>
      <c r="R96" s="4" t="s">
        <v>74</v>
      </c>
      <c r="S96" s="4" t="s">
        <v>1316</v>
      </c>
      <c r="T96" s="4" t="s">
        <v>1317</v>
      </c>
      <c r="U96" s="4" t="s">
        <v>1318</v>
      </c>
      <c r="V96" s="4"/>
      <c r="W96" s="4" t="s">
        <v>61</v>
      </c>
      <c r="X96" s="4" t="s">
        <v>1319</v>
      </c>
      <c r="Y96" s="4" t="s">
        <v>78</v>
      </c>
    </row>
    <row r="97" customFormat="false" ht="46.25" hidden="false" customHeight="false" outlineLevel="0" collapsed="false">
      <c r="A97" s="4" t="s">
        <v>1320</v>
      </c>
      <c r="B97" s="4" t="s">
        <v>1321</v>
      </c>
      <c r="C97" s="4" t="s">
        <v>1322</v>
      </c>
      <c r="D97" s="4" t="s">
        <v>61</v>
      </c>
      <c r="E97" s="4" t="s">
        <v>1311</v>
      </c>
      <c r="F97" s="4" t="s">
        <v>1323</v>
      </c>
      <c r="G97" s="4" t="s">
        <v>1324</v>
      </c>
      <c r="H97" s="4" t="s">
        <v>61</v>
      </c>
      <c r="I97" s="4" t="s">
        <v>97</v>
      </c>
      <c r="J97" s="4" t="s">
        <v>1325</v>
      </c>
      <c r="K97" s="4" t="s">
        <v>1326</v>
      </c>
      <c r="L97" s="5" t="s">
        <v>85</v>
      </c>
      <c r="M97" s="4" t="s">
        <v>85</v>
      </c>
      <c r="N97" s="4" t="s">
        <v>1327</v>
      </c>
      <c r="O97" s="4" t="s">
        <v>1328</v>
      </c>
      <c r="P97" s="4" t="s">
        <v>72</v>
      </c>
      <c r="Q97" s="4" t="s">
        <v>316</v>
      </c>
      <c r="R97" s="4" t="s">
        <v>74</v>
      </c>
      <c r="S97" s="4" t="s">
        <v>1329</v>
      </c>
      <c r="T97" s="4" t="s">
        <v>1330</v>
      </c>
      <c r="U97" s="4" t="s">
        <v>1331</v>
      </c>
      <c r="V97" s="4"/>
      <c r="W97" s="4" t="s">
        <v>1332</v>
      </c>
      <c r="X97" s="4" t="s">
        <v>376</v>
      </c>
      <c r="Y97" s="4" t="s">
        <v>78</v>
      </c>
    </row>
    <row r="98" customFormat="false" ht="68.65" hidden="false" customHeight="false" outlineLevel="0" collapsed="false">
      <c r="A98" s="4" t="s">
        <v>1333</v>
      </c>
      <c r="B98" s="4" t="s">
        <v>1334</v>
      </c>
      <c r="C98" s="4" t="s">
        <v>1335</v>
      </c>
      <c r="D98" s="4" t="s">
        <v>65</v>
      </c>
      <c r="E98" s="4" t="s">
        <v>1311</v>
      </c>
      <c r="F98" s="4" t="s">
        <v>1336</v>
      </c>
      <c r="G98" s="4" t="s">
        <v>1337</v>
      </c>
      <c r="H98" s="4" t="s">
        <v>61</v>
      </c>
      <c r="I98" s="4" t="s">
        <v>128</v>
      </c>
      <c r="J98" s="4" t="s">
        <v>1338</v>
      </c>
      <c r="K98" s="4" t="s">
        <v>1339</v>
      </c>
      <c r="L98" s="6" t="s">
        <v>221</v>
      </c>
      <c r="M98" s="4" t="s">
        <v>1340</v>
      </c>
      <c r="N98" s="4" t="s">
        <v>1341</v>
      </c>
      <c r="O98" s="4" t="s">
        <v>1342</v>
      </c>
      <c r="P98" s="4" t="s">
        <v>72</v>
      </c>
      <c r="Q98" s="4" t="s">
        <v>316</v>
      </c>
      <c r="R98" s="4" t="s">
        <v>74</v>
      </c>
      <c r="S98" s="4" t="s">
        <v>1343</v>
      </c>
      <c r="T98" s="4" t="s">
        <v>1344</v>
      </c>
      <c r="U98" s="4" t="s">
        <v>1345</v>
      </c>
      <c r="V98" s="4" t="s">
        <v>1346</v>
      </c>
      <c r="W98" s="4" t="s">
        <v>1347</v>
      </c>
      <c r="X98" s="4" t="s">
        <v>1319</v>
      </c>
      <c r="Y98" s="4" t="s">
        <v>161</v>
      </c>
    </row>
    <row r="99" customFormat="false" ht="135.8" hidden="false" customHeight="false" outlineLevel="0" collapsed="false">
      <c r="A99" s="4" t="s">
        <v>1348</v>
      </c>
      <c r="B99" s="4" t="s">
        <v>1349</v>
      </c>
      <c r="C99" s="4" t="s">
        <v>1350</v>
      </c>
      <c r="D99" s="4" t="s">
        <v>65</v>
      </c>
      <c r="E99" s="4" t="s">
        <v>1311</v>
      </c>
      <c r="F99" s="4" t="s">
        <v>1351</v>
      </c>
      <c r="G99" s="4" t="s">
        <v>1352</v>
      </c>
      <c r="H99" s="4" t="s">
        <v>61</v>
      </c>
      <c r="I99" s="4" t="s">
        <v>97</v>
      </c>
      <c r="J99" s="4" t="s">
        <v>1353</v>
      </c>
      <c r="K99" s="4" t="s">
        <v>1354</v>
      </c>
      <c r="L99" s="6" t="s">
        <v>221</v>
      </c>
      <c r="M99" s="4" t="s">
        <v>1355</v>
      </c>
      <c r="N99" s="4" t="s">
        <v>1356</v>
      </c>
      <c r="O99" s="4" t="s">
        <v>1357</v>
      </c>
      <c r="P99" s="4" t="s">
        <v>103</v>
      </c>
      <c r="Q99" s="4" t="s">
        <v>74</v>
      </c>
      <c r="R99" s="4" t="s">
        <v>74</v>
      </c>
      <c r="S99" s="4" t="s">
        <v>1358</v>
      </c>
      <c r="T99" s="4" t="s">
        <v>1359</v>
      </c>
      <c r="U99" s="4" t="s">
        <v>1360</v>
      </c>
      <c r="V99" s="4" t="s">
        <v>1361</v>
      </c>
      <c r="W99" s="4" t="s">
        <v>1362</v>
      </c>
      <c r="X99" s="4" t="s">
        <v>1319</v>
      </c>
      <c r="Y99" s="4" t="s">
        <v>649</v>
      </c>
    </row>
    <row r="100" customFormat="false" ht="57.45" hidden="false" customHeight="false" outlineLevel="0" collapsed="false">
      <c r="A100" s="4" t="s">
        <v>1363</v>
      </c>
      <c r="B100" s="4" t="s">
        <v>1364</v>
      </c>
      <c r="C100" s="4" t="s">
        <v>1365</v>
      </c>
      <c r="D100" s="4" t="s">
        <v>61</v>
      </c>
      <c r="E100" s="4" t="s">
        <v>1311</v>
      </c>
      <c r="F100" s="4" t="s">
        <v>1366</v>
      </c>
      <c r="G100" s="4" t="s">
        <v>1367</v>
      </c>
      <c r="H100" s="4" t="s">
        <v>61</v>
      </c>
      <c r="I100" s="4" t="s">
        <v>128</v>
      </c>
      <c r="J100" s="4" t="s">
        <v>1368</v>
      </c>
      <c r="K100" s="4" t="s">
        <v>535</v>
      </c>
      <c r="L100" s="5" t="s">
        <v>85</v>
      </c>
      <c r="M100" s="4" t="s">
        <v>1369</v>
      </c>
      <c r="N100" s="4" t="s">
        <v>85</v>
      </c>
      <c r="O100" s="4" t="s">
        <v>1370</v>
      </c>
      <c r="P100" s="4" t="s">
        <v>72</v>
      </c>
      <c r="Q100" s="4" t="s">
        <v>73</v>
      </c>
      <c r="R100" s="4" t="s">
        <v>74</v>
      </c>
      <c r="S100" s="4" t="s">
        <v>1371</v>
      </c>
      <c r="T100" s="4" t="s">
        <v>1372</v>
      </c>
      <c r="U100" s="4" t="s">
        <v>1373</v>
      </c>
      <c r="V100" s="4" t="s">
        <v>1374</v>
      </c>
      <c r="W100" s="4" t="s">
        <v>1375</v>
      </c>
      <c r="X100" s="4" t="s">
        <v>226</v>
      </c>
      <c r="Y100" s="4" t="s">
        <v>649</v>
      </c>
    </row>
    <row r="101" customFormat="false" ht="79.85" hidden="false" customHeight="false" outlineLevel="0" collapsed="false">
      <c r="A101" s="4" t="s">
        <v>1376</v>
      </c>
      <c r="B101" s="4" t="s">
        <v>1377</v>
      </c>
      <c r="C101" s="4" t="s">
        <v>1378</v>
      </c>
      <c r="D101" s="4" t="s">
        <v>61</v>
      </c>
      <c r="E101" s="4" t="s">
        <v>1311</v>
      </c>
      <c r="F101" s="4" t="s">
        <v>1379</v>
      </c>
      <c r="G101" s="4" t="s">
        <v>1380</v>
      </c>
      <c r="H101" s="4" t="s">
        <v>61</v>
      </c>
      <c r="I101" s="4" t="s">
        <v>128</v>
      </c>
      <c r="J101" s="4" t="s">
        <v>1381</v>
      </c>
      <c r="K101" s="4" t="s">
        <v>1382</v>
      </c>
      <c r="L101" s="5" t="s">
        <v>85</v>
      </c>
      <c r="M101" s="4" t="s">
        <v>1383</v>
      </c>
      <c r="N101" s="4" t="s">
        <v>1384</v>
      </c>
      <c r="O101" s="4" t="s">
        <v>1385</v>
      </c>
      <c r="P101" s="4" t="s">
        <v>72</v>
      </c>
      <c r="Q101" s="4" t="s">
        <v>316</v>
      </c>
      <c r="R101" s="4" t="s">
        <v>74</v>
      </c>
      <c r="S101" s="4" t="s">
        <v>1386</v>
      </c>
      <c r="T101" s="4" t="s">
        <v>1387</v>
      </c>
      <c r="U101" s="4" t="s">
        <v>1388</v>
      </c>
      <c r="V101" s="4"/>
      <c r="W101" s="4" t="s">
        <v>1389</v>
      </c>
      <c r="X101" s="4" t="s">
        <v>720</v>
      </c>
      <c r="Y101" s="4" t="s">
        <v>649</v>
      </c>
    </row>
    <row r="102" customFormat="false" ht="79.85" hidden="false" customHeight="false" outlineLevel="0" collapsed="false">
      <c r="A102" s="4" t="s">
        <v>1390</v>
      </c>
      <c r="B102" s="4" t="s">
        <v>1391</v>
      </c>
      <c r="C102" s="4" t="s">
        <v>1392</v>
      </c>
      <c r="D102" s="4" t="s">
        <v>65</v>
      </c>
      <c r="E102" s="4" t="s">
        <v>1311</v>
      </c>
      <c r="F102" s="4" t="s">
        <v>1393</v>
      </c>
      <c r="G102" s="4" t="s">
        <v>1394</v>
      </c>
      <c r="H102" s="4" t="s">
        <v>61</v>
      </c>
      <c r="I102" s="4" t="s">
        <v>97</v>
      </c>
      <c r="J102" s="4" t="s">
        <v>1395</v>
      </c>
      <c r="K102" s="4" t="s">
        <v>1396</v>
      </c>
      <c r="L102" s="5" t="s">
        <v>85</v>
      </c>
      <c r="M102" s="4" t="s">
        <v>1397</v>
      </c>
      <c r="N102" s="4" t="s">
        <v>1398</v>
      </c>
      <c r="O102" s="4" t="s">
        <v>1399</v>
      </c>
      <c r="P102" s="4" t="s">
        <v>72</v>
      </c>
      <c r="Q102" s="4" t="s">
        <v>74</v>
      </c>
      <c r="R102" s="4" t="s">
        <v>1400</v>
      </c>
      <c r="S102" s="4" t="s">
        <v>1401</v>
      </c>
      <c r="T102" s="4" t="s">
        <v>1402</v>
      </c>
      <c r="U102" s="4" t="s">
        <v>1403</v>
      </c>
      <c r="V102" s="4" t="s">
        <v>1404</v>
      </c>
      <c r="W102" s="4" t="s">
        <v>1405</v>
      </c>
      <c r="X102" s="4" t="s">
        <v>109</v>
      </c>
      <c r="Y102" s="4" t="s">
        <v>649</v>
      </c>
    </row>
    <row r="103" customFormat="false" ht="68.65" hidden="false" customHeight="false" outlineLevel="0" collapsed="false">
      <c r="A103" s="4" t="s">
        <v>1406</v>
      </c>
      <c r="B103" s="4" t="s">
        <v>1407</v>
      </c>
      <c r="C103" s="4" t="s">
        <v>1408</v>
      </c>
      <c r="D103" s="4" t="s">
        <v>65</v>
      </c>
      <c r="E103" s="4" t="s">
        <v>1311</v>
      </c>
      <c r="F103" s="4" t="s">
        <v>1409</v>
      </c>
      <c r="G103" s="4" t="s">
        <v>1410</v>
      </c>
      <c r="H103" s="4" t="s">
        <v>61</v>
      </c>
      <c r="I103" s="4" t="s">
        <v>97</v>
      </c>
      <c r="J103" s="4" t="s">
        <v>1411</v>
      </c>
      <c r="K103" s="4" t="s">
        <v>1412</v>
      </c>
      <c r="L103" s="5" t="s">
        <v>85</v>
      </c>
      <c r="M103" s="4" t="s">
        <v>1413</v>
      </c>
      <c r="N103" s="4" t="s">
        <v>1414</v>
      </c>
      <c r="O103" s="4" t="s">
        <v>1415</v>
      </c>
      <c r="P103" s="4" t="s">
        <v>72</v>
      </c>
      <c r="Q103" s="4" t="s">
        <v>316</v>
      </c>
      <c r="R103" s="4" t="s">
        <v>74</v>
      </c>
      <c r="S103" s="4" t="s">
        <v>1416</v>
      </c>
      <c r="T103" s="4" t="s">
        <v>1417</v>
      </c>
      <c r="U103" s="4" t="s">
        <v>1418</v>
      </c>
      <c r="V103" s="4"/>
      <c r="W103" s="4" t="s">
        <v>1419</v>
      </c>
      <c r="X103" s="4" t="s">
        <v>109</v>
      </c>
      <c r="Y103" s="4" t="s">
        <v>649</v>
      </c>
    </row>
    <row r="104" customFormat="false" ht="102.2" hidden="false" customHeight="false" outlineLevel="0" collapsed="false">
      <c r="A104" s="4" t="s">
        <v>1420</v>
      </c>
      <c r="B104" s="4" t="s">
        <v>1421</v>
      </c>
      <c r="C104" s="4" t="s">
        <v>1422</v>
      </c>
      <c r="D104" s="4" t="s">
        <v>65</v>
      </c>
      <c r="E104" s="4" t="s">
        <v>1311</v>
      </c>
      <c r="F104" s="4" t="s">
        <v>1423</v>
      </c>
      <c r="G104" s="4" t="s">
        <v>1424</v>
      </c>
      <c r="H104" s="4" t="s">
        <v>61</v>
      </c>
      <c r="I104" s="4" t="s">
        <v>97</v>
      </c>
      <c r="J104" s="4" t="s">
        <v>1425</v>
      </c>
      <c r="K104" s="4" t="s">
        <v>1426</v>
      </c>
      <c r="L104" s="6" t="s">
        <v>221</v>
      </c>
      <c r="M104" s="4" t="s">
        <v>1427</v>
      </c>
      <c r="N104" s="4" t="s">
        <v>1428</v>
      </c>
      <c r="O104" s="4" t="s">
        <v>1429</v>
      </c>
      <c r="P104" s="4" t="s">
        <v>103</v>
      </c>
      <c r="Q104" s="4" t="s">
        <v>74</v>
      </c>
      <c r="R104" s="4" t="s">
        <v>74</v>
      </c>
      <c r="S104" s="4" t="s">
        <v>1430</v>
      </c>
      <c r="T104" s="4" t="s">
        <v>1431</v>
      </c>
      <c r="U104" s="4" t="s">
        <v>1432</v>
      </c>
      <c r="V104" s="4" t="s">
        <v>1433</v>
      </c>
      <c r="W104" s="4" t="s">
        <v>1434</v>
      </c>
      <c r="X104" s="4" t="s">
        <v>1319</v>
      </c>
      <c r="Y104" s="4" t="s">
        <v>649</v>
      </c>
    </row>
    <row r="105" customFormat="false" ht="79.85" hidden="false" customHeight="false" outlineLevel="0" collapsed="false">
      <c r="A105" s="4" t="s">
        <v>1435</v>
      </c>
      <c r="B105" s="4" t="s">
        <v>1436</v>
      </c>
      <c r="C105" s="4" t="s">
        <v>1437</v>
      </c>
      <c r="D105" s="4" t="s">
        <v>65</v>
      </c>
      <c r="E105" s="4" t="s">
        <v>1438</v>
      </c>
      <c r="F105" s="4" t="s">
        <v>1439</v>
      </c>
      <c r="G105" s="4" t="s">
        <v>1440</v>
      </c>
      <c r="H105" s="4" t="s">
        <v>65</v>
      </c>
      <c r="I105" s="4" t="s">
        <v>66</v>
      </c>
      <c r="J105" s="4" t="s">
        <v>1441</v>
      </c>
      <c r="K105" s="4" t="s">
        <v>85</v>
      </c>
      <c r="L105" s="5" t="s">
        <v>85</v>
      </c>
      <c r="M105" s="4" t="s">
        <v>1442</v>
      </c>
      <c r="N105" s="4" t="s">
        <v>85</v>
      </c>
      <c r="O105" s="4" t="s">
        <v>1443</v>
      </c>
      <c r="P105" s="4" t="s">
        <v>103</v>
      </c>
      <c r="Q105" s="4" t="s">
        <v>316</v>
      </c>
      <c r="R105" s="4" t="s">
        <v>74</v>
      </c>
      <c r="S105" s="4" t="s">
        <v>1444</v>
      </c>
      <c r="T105" s="4" t="s">
        <v>1445</v>
      </c>
      <c r="U105" s="4" t="s">
        <v>1446</v>
      </c>
      <c r="V105" s="4"/>
      <c r="W105" s="4" t="s">
        <v>69</v>
      </c>
      <c r="X105" s="4" t="s">
        <v>1447</v>
      </c>
      <c r="Y105" s="4" t="s">
        <v>78</v>
      </c>
    </row>
    <row r="106" customFormat="false" ht="68.65" hidden="false" customHeight="false" outlineLevel="0" collapsed="false">
      <c r="A106" s="4" t="s">
        <v>1448</v>
      </c>
      <c r="B106" s="4" t="s">
        <v>1449</v>
      </c>
      <c r="C106" s="4" t="s">
        <v>1450</v>
      </c>
      <c r="D106" s="4" t="s">
        <v>65</v>
      </c>
      <c r="E106" s="4" t="s">
        <v>1438</v>
      </c>
      <c r="F106" s="4" t="s">
        <v>1451</v>
      </c>
      <c r="G106" s="4" t="s">
        <v>1452</v>
      </c>
      <c r="H106" s="4" t="s">
        <v>65</v>
      </c>
      <c r="I106" s="4" t="s">
        <v>66</v>
      </c>
      <c r="J106" s="4" t="s">
        <v>1453</v>
      </c>
      <c r="K106" s="4" t="s">
        <v>85</v>
      </c>
      <c r="L106" s="5" t="s">
        <v>85</v>
      </c>
      <c r="M106" s="4" t="s">
        <v>85</v>
      </c>
      <c r="N106" s="4" t="s">
        <v>85</v>
      </c>
      <c r="O106" s="4" t="s">
        <v>1454</v>
      </c>
      <c r="P106" s="4" t="s">
        <v>72</v>
      </c>
      <c r="Q106" s="4" t="s">
        <v>316</v>
      </c>
      <c r="R106" s="4" t="s">
        <v>74</v>
      </c>
      <c r="S106" s="4" t="s">
        <v>1455</v>
      </c>
      <c r="T106" s="4" t="s">
        <v>1456</v>
      </c>
      <c r="U106" s="4" t="s">
        <v>1457</v>
      </c>
      <c r="V106" s="4"/>
      <c r="W106" s="4" t="s">
        <v>69</v>
      </c>
      <c r="X106" s="4" t="s">
        <v>1447</v>
      </c>
      <c r="Y106" s="4" t="s">
        <v>78</v>
      </c>
    </row>
    <row r="107" customFormat="false" ht="46.25" hidden="false" customHeight="false" outlineLevel="0" collapsed="false">
      <c r="A107" s="4" t="s">
        <v>1458</v>
      </c>
      <c r="B107" s="4" t="s">
        <v>1459</v>
      </c>
      <c r="C107" s="4" t="s">
        <v>1460</v>
      </c>
      <c r="D107" s="4" t="s">
        <v>61</v>
      </c>
      <c r="E107" s="4" t="s">
        <v>1438</v>
      </c>
      <c r="F107" s="4" t="s">
        <v>1461</v>
      </c>
      <c r="G107" s="4" t="s">
        <v>1462</v>
      </c>
      <c r="H107" s="4" t="s">
        <v>61</v>
      </c>
      <c r="I107" s="4" t="s">
        <v>97</v>
      </c>
      <c r="J107" s="4" t="s">
        <v>1463</v>
      </c>
      <c r="K107" s="4" t="s">
        <v>1464</v>
      </c>
      <c r="L107" s="5" t="s">
        <v>85</v>
      </c>
      <c r="M107" s="4" t="s">
        <v>85</v>
      </c>
      <c r="N107" s="4" t="s">
        <v>85</v>
      </c>
      <c r="O107" s="4" t="s">
        <v>1465</v>
      </c>
      <c r="P107" s="4" t="s">
        <v>72</v>
      </c>
      <c r="Q107" s="4" t="s">
        <v>74</v>
      </c>
      <c r="R107" s="4" t="s">
        <v>74</v>
      </c>
      <c r="S107" s="4" t="s">
        <v>1466</v>
      </c>
      <c r="T107" s="4" t="s">
        <v>1467</v>
      </c>
      <c r="U107" s="4" t="s">
        <v>1468</v>
      </c>
      <c r="V107" s="4"/>
      <c r="W107" s="4" t="s">
        <v>61</v>
      </c>
      <c r="X107" s="4" t="s">
        <v>1469</v>
      </c>
      <c r="Y107" s="4" t="s">
        <v>78</v>
      </c>
    </row>
    <row r="108" customFormat="false" ht="46.25" hidden="false" customHeight="false" outlineLevel="0" collapsed="false">
      <c r="A108" s="4" t="s">
        <v>1470</v>
      </c>
      <c r="B108" s="4" t="s">
        <v>1471</v>
      </c>
      <c r="C108" s="4" t="s">
        <v>1472</v>
      </c>
      <c r="D108" s="4" t="s">
        <v>65</v>
      </c>
      <c r="E108" s="4" t="s">
        <v>1438</v>
      </c>
      <c r="F108" s="4" t="s">
        <v>1473</v>
      </c>
      <c r="G108" s="4" t="s">
        <v>1474</v>
      </c>
      <c r="H108" s="4" t="s">
        <v>65</v>
      </c>
      <c r="I108" s="4" t="s">
        <v>66</v>
      </c>
      <c r="J108" s="4" t="s">
        <v>1453</v>
      </c>
      <c r="K108" s="4" t="s">
        <v>85</v>
      </c>
      <c r="L108" s="5" t="s">
        <v>85</v>
      </c>
      <c r="M108" s="4" t="s">
        <v>85</v>
      </c>
      <c r="N108" s="4" t="s">
        <v>85</v>
      </c>
      <c r="O108" s="4" t="s">
        <v>1475</v>
      </c>
      <c r="P108" s="4" t="s">
        <v>72</v>
      </c>
      <c r="Q108" s="4" t="s">
        <v>316</v>
      </c>
      <c r="R108" s="4" t="s">
        <v>74</v>
      </c>
      <c r="S108" s="4" t="s">
        <v>1476</v>
      </c>
      <c r="T108" s="4" t="s">
        <v>1477</v>
      </c>
      <c r="U108" s="4" t="s">
        <v>1478</v>
      </c>
      <c r="V108" s="4"/>
      <c r="W108" s="4" t="s">
        <v>69</v>
      </c>
      <c r="X108" s="4" t="s">
        <v>1447</v>
      </c>
      <c r="Y108" s="4" t="s">
        <v>78</v>
      </c>
    </row>
    <row r="109" customFormat="false" ht="68.65" hidden="false" customHeight="false" outlineLevel="0" collapsed="false">
      <c r="A109" s="4" t="s">
        <v>1479</v>
      </c>
      <c r="B109" s="4" t="s">
        <v>1480</v>
      </c>
      <c r="C109" s="4" t="s">
        <v>1481</v>
      </c>
      <c r="D109" s="4" t="s">
        <v>65</v>
      </c>
      <c r="E109" s="4" t="s">
        <v>1438</v>
      </c>
      <c r="F109" s="4" t="s">
        <v>1482</v>
      </c>
      <c r="G109" s="4" t="s">
        <v>1483</v>
      </c>
      <c r="H109" s="4" t="s">
        <v>61</v>
      </c>
      <c r="I109" s="4" t="s">
        <v>97</v>
      </c>
      <c r="J109" s="4" t="s">
        <v>1484</v>
      </c>
      <c r="K109" s="4" t="s">
        <v>1485</v>
      </c>
      <c r="L109" s="6" t="s">
        <v>221</v>
      </c>
      <c r="M109" s="4" t="s">
        <v>1486</v>
      </c>
      <c r="N109" s="4" t="s">
        <v>1487</v>
      </c>
      <c r="O109" s="4" t="s">
        <v>1488</v>
      </c>
      <c r="P109" s="4" t="s">
        <v>103</v>
      </c>
      <c r="Q109" s="4" t="s">
        <v>316</v>
      </c>
      <c r="R109" s="4" t="s">
        <v>74</v>
      </c>
      <c r="S109" s="4" t="s">
        <v>1489</v>
      </c>
      <c r="T109" s="4" t="s">
        <v>1490</v>
      </c>
      <c r="U109" s="4" t="s">
        <v>1491</v>
      </c>
      <c r="V109" s="4" t="s">
        <v>1492</v>
      </c>
      <c r="W109" s="4" t="s">
        <v>1493</v>
      </c>
      <c r="X109" s="4" t="s">
        <v>1447</v>
      </c>
      <c r="Y109" s="4" t="s">
        <v>78</v>
      </c>
    </row>
    <row r="110" customFormat="false" ht="35.05" hidden="false" customHeight="false" outlineLevel="0" collapsed="false">
      <c r="A110" s="4" t="s">
        <v>1494</v>
      </c>
      <c r="B110" s="4" t="s">
        <v>1495</v>
      </c>
      <c r="C110" s="4" t="s">
        <v>1496</v>
      </c>
      <c r="D110" s="4" t="s">
        <v>61</v>
      </c>
      <c r="E110" s="4" t="s">
        <v>1438</v>
      </c>
      <c r="F110" s="4" t="s">
        <v>1497</v>
      </c>
      <c r="G110" s="4" t="s">
        <v>1498</v>
      </c>
      <c r="H110" s="4" t="s">
        <v>61</v>
      </c>
      <c r="I110" s="4" t="s">
        <v>128</v>
      </c>
      <c r="J110" s="4" t="s">
        <v>1499</v>
      </c>
      <c r="K110" s="4" t="s">
        <v>1500</v>
      </c>
      <c r="L110" s="6" t="s">
        <v>221</v>
      </c>
      <c r="M110" s="4" t="s">
        <v>1501</v>
      </c>
      <c r="N110" s="4" t="s">
        <v>85</v>
      </c>
      <c r="O110" s="4" t="s">
        <v>1502</v>
      </c>
      <c r="P110" s="4" t="s">
        <v>72</v>
      </c>
      <c r="Q110" s="4" t="s">
        <v>73</v>
      </c>
      <c r="R110" s="4" t="s">
        <v>74</v>
      </c>
      <c r="S110" s="4" t="s">
        <v>1503</v>
      </c>
      <c r="T110" s="4" t="s">
        <v>1504</v>
      </c>
      <c r="U110" s="4" t="s">
        <v>1505</v>
      </c>
      <c r="V110" s="4"/>
      <c r="W110" s="4" t="s">
        <v>61</v>
      </c>
      <c r="X110" s="4" t="s">
        <v>1469</v>
      </c>
      <c r="Y110" s="4" t="s">
        <v>78</v>
      </c>
    </row>
    <row r="111" customFormat="false" ht="35.05" hidden="false" customHeight="false" outlineLevel="0" collapsed="false">
      <c r="A111" s="4" t="s">
        <v>1506</v>
      </c>
      <c r="B111" s="4" t="s">
        <v>1507</v>
      </c>
      <c r="C111" s="4" t="s">
        <v>1508</v>
      </c>
      <c r="D111" s="4" t="s">
        <v>61</v>
      </c>
      <c r="E111" s="4" t="s">
        <v>1438</v>
      </c>
      <c r="F111" s="4" t="s">
        <v>1509</v>
      </c>
      <c r="G111" s="4" t="s">
        <v>1510</v>
      </c>
      <c r="H111" s="4" t="s">
        <v>61</v>
      </c>
      <c r="I111" s="4" t="s">
        <v>128</v>
      </c>
      <c r="J111" s="4" t="s">
        <v>1511</v>
      </c>
      <c r="K111" s="4" t="s">
        <v>1512</v>
      </c>
      <c r="L111" s="5" t="s">
        <v>85</v>
      </c>
      <c r="M111" s="4" t="s">
        <v>85</v>
      </c>
      <c r="N111" s="4" t="s">
        <v>85</v>
      </c>
      <c r="O111" s="4" t="s">
        <v>1513</v>
      </c>
      <c r="P111" s="4" t="s">
        <v>72</v>
      </c>
      <c r="Q111" s="4" t="s">
        <v>73</v>
      </c>
      <c r="R111" s="4" t="s">
        <v>74</v>
      </c>
      <c r="S111" s="4" t="s">
        <v>1514</v>
      </c>
      <c r="T111" s="4" t="s">
        <v>1515</v>
      </c>
      <c r="U111" s="4" t="s">
        <v>69</v>
      </c>
      <c r="V111" s="4" t="s">
        <v>1516</v>
      </c>
      <c r="W111" s="4" t="s">
        <v>61</v>
      </c>
      <c r="X111" s="4" t="s">
        <v>1469</v>
      </c>
      <c r="Y111" s="4" t="s">
        <v>78</v>
      </c>
    </row>
    <row r="112" customFormat="false" ht="23.85" hidden="false" customHeight="false" outlineLevel="0" collapsed="false">
      <c r="A112" s="4" t="s">
        <v>1517</v>
      </c>
      <c r="B112" s="4" t="s">
        <v>1518</v>
      </c>
      <c r="C112" s="4" t="s">
        <v>1519</v>
      </c>
      <c r="D112" s="4" t="s">
        <v>61</v>
      </c>
      <c r="E112" s="4" t="s">
        <v>1438</v>
      </c>
      <c r="F112" s="4" t="s">
        <v>1520</v>
      </c>
      <c r="G112" s="4" t="s">
        <v>127</v>
      </c>
      <c r="H112" s="4" t="s">
        <v>61</v>
      </c>
      <c r="I112" s="4" t="s">
        <v>128</v>
      </c>
      <c r="J112" s="4" t="s">
        <v>1521</v>
      </c>
      <c r="K112" s="4" t="s">
        <v>85</v>
      </c>
      <c r="L112" s="6" t="s">
        <v>221</v>
      </c>
      <c r="M112" s="4" t="s">
        <v>1522</v>
      </c>
      <c r="N112" s="4" t="s">
        <v>85</v>
      </c>
      <c r="O112" s="4" t="s">
        <v>1523</v>
      </c>
      <c r="P112" s="4" t="s">
        <v>72</v>
      </c>
      <c r="Q112" s="4" t="s">
        <v>73</v>
      </c>
      <c r="R112" s="4" t="s">
        <v>74</v>
      </c>
      <c r="S112" s="4" t="s">
        <v>1524</v>
      </c>
      <c r="T112" s="4" t="s">
        <v>1525</v>
      </c>
      <c r="U112" s="4" t="s">
        <v>1526</v>
      </c>
      <c r="V112" s="4"/>
      <c r="W112" s="4" t="s">
        <v>61</v>
      </c>
      <c r="X112" s="4" t="s">
        <v>1469</v>
      </c>
      <c r="Y112" s="4" t="s">
        <v>78</v>
      </c>
    </row>
    <row r="113" customFormat="false" ht="35.05" hidden="false" customHeight="false" outlineLevel="0" collapsed="false">
      <c r="A113" s="4" t="s">
        <v>1527</v>
      </c>
      <c r="B113" s="4" t="s">
        <v>1528</v>
      </c>
      <c r="C113" s="4" t="s">
        <v>1529</v>
      </c>
      <c r="D113" s="4" t="s">
        <v>61</v>
      </c>
      <c r="E113" s="4" t="s">
        <v>1438</v>
      </c>
      <c r="F113" s="4" t="s">
        <v>1530</v>
      </c>
      <c r="G113" s="4" t="s">
        <v>1531</v>
      </c>
      <c r="H113" s="4" t="s">
        <v>61</v>
      </c>
      <c r="I113" s="4" t="s">
        <v>128</v>
      </c>
      <c r="J113" s="4" t="s">
        <v>1532</v>
      </c>
      <c r="K113" s="4" t="s">
        <v>85</v>
      </c>
      <c r="L113" s="6" t="s">
        <v>221</v>
      </c>
      <c r="M113" s="4" t="s">
        <v>1533</v>
      </c>
      <c r="N113" s="4" t="s">
        <v>85</v>
      </c>
      <c r="O113" s="4" t="s">
        <v>1534</v>
      </c>
      <c r="P113" s="4" t="s">
        <v>72</v>
      </c>
      <c r="Q113" s="4" t="s">
        <v>73</v>
      </c>
      <c r="R113" s="4" t="s">
        <v>1535</v>
      </c>
      <c r="S113" s="4" t="s">
        <v>1536</v>
      </c>
      <c r="T113" s="4" t="s">
        <v>1537</v>
      </c>
      <c r="U113" s="4" t="s">
        <v>1538</v>
      </c>
      <c r="V113" s="4"/>
      <c r="W113" s="4" t="s">
        <v>61</v>
      </c>
      <c r="X113" s="4" t="s">
        <v>1469</v>
      </c>
      <c r="Y113" s="4" t="s">
        <v>78</v>
      </c>
    </row>
    <row r="114" customFormat="false" ht="46.25" hidden="false" customHeight="false" outlineLevel="0" collapsed="false">
      <c r="A114" s="4" t="s">
        <v>1539</v>
      </c>
      <c r="B114" s="4" t="s">
        <v>1540</v>
      </c>
      <c r="C114" s="4" t="s">
        <v>1541</v>
      </c>
      <c r="D114" s="4" t="s">
        <v>61</v>
      </c>
      <c r="E114" s="4" t="s">
        <v>1438</v>
      </c>
      <c r="F114" s="4" t="s">
        <v>1542</v>
      </c>
      <c r="G114" s="4" t="s">
        <v>127</v>
      </c>
      <c r="H114" s="4" t="s">
        <v>61</v>
      </c>
      <c r="I114" s="4" t="s">
        <v>128</v>
      </c>
      <c r="J114" s="4" t="s">
        <v>1543</v>
      </c>
      <c r="K114" s="4" t="s">
        <v>85</v>
      </c>
      <c r="L114" s="5" t="s">
        <v>85</v>
      </c>
      <c r="M114" s="4" t="s">
        <v>1544</v>
      </c>
      <c r="N114" s="4" t="s">
        <v>85</v>
      </c>
      <c r="O114" s="4" t="s">
        <v>1545</v>
      </c>
      <c r="P114" s="4" t="s">
        <v>72</v>
      </c>
      <c r="Q114" s="4" t="s">
        <v>316</v>
      </c>
      <c r="R114" s="4" t="s">
        <v>1546</v>
      </c>
      <c r="S114" s="4" t="s">
        <v>1547</v>
      </c>
      <c r="T114" s="4" t="s">
        <v>1548</v>
      </c>
      <c r="U114" s="4" t="s">
        <v>1549</v>
      </c>
      <c r="V114" s="4"/>
      <c r="W114" s="4" t="s">
        <v>1550</v>
      </c>
      <c r="X114" s="4" t="s">
        <v>1469</v>
      </c>
      <c r="Y114" s="4" t="s">
        <v>78</v>
      </c>
    </row>
    <row r="115" customFormat="false" ht="35.05" hidden="false" customHeight="false" outlineLevel="0" collapsed="false">
      <c r="A115" s="4" t="s">
        <v>1551</v>
      </c>
      <c r="B115" s="4" t="s">
        <v>1552</v>
      </c>
      <c r="C115" s="4" t="s">
        <v>1553</v>
      </c>
      <c r="D115" s="4" t="s">
        <v>61</v>
      </c>
      <c r="E115" s="4" t="s">
        <v>1438</v>
      </c>
      <c r="F115" s="4" t="s">
        <v>1554</v>
      </c>
      <c r="G115" s="4" t="s">
        <v>127</v>
      </c>
      <c r="H115" s="4" t="s">
        <v>61</v>
      </c>
      <c r="I115" s="4" t="s">
        <v>128</v>
      </c>
      <c r="J115" s="4" t="s">
        <v>128</v>
      </c>
      <c r="K115" s="4" t="s">
        <v>1555</v>
      </c>
      <c r="L115" s="6" t="s">
        <v>221</v>
      </c>
      <c r="M115" s="4" t="s">
        <v>1556</v>
      </c>
      <c r="N115" s="4" t="s">
        <v>85</v>
      </c>
      <c r="O115" s="4" t="s">
        <v>1557</v>
      </c>
      <c r="P115" s="4" t="s">
        <v>72</v>
      </c>
      <c r="Q115" s="4" t="s">
        <v>73</v>
      </c>
      <c r="R115" s="4" t="s">
        <v>74</v>
      </c>
      <c r="S115" s="4" t="s">
        <v>1558</v>
      </c>
      <c r="T115" s="4" t="s">
        <v>1559</v>
      </c>
      <c r="U115" s="4" t="s">
        <v>1560</v>
      </c>
      <c r="V115" s="4"/>
      <c r="W115" s="4" t="s">
        <v>61</v>
      </c>
      <c r="X115" s="4" t="s">
        <v>376</v>
      </c>
      <c r="Y115" s="4" t="s">
        <v>78</v>
      </c>
    </row>
    <row r="116" customFormat="false" ht="35.05" hidden="false" customHeight="false" outlineLevel="0" collapsed="false">
      <c r="A116" s="4" t="s">
        <v>1561</v>
      </c>
      <c r="B116" s="4" t="s">
        <v>1562</v>
      </c>
      <c r="C116" s="4" t="s">
        <v>1563</v>
      </c>
      <c r="D116" s="4" t="s">
        <v>61</v>
      </c>
      <c r="E116" s="4" t="s">
        <v>1438</v>
      </c>
      <c r="F116" s="4" t="s">
        <v>1564</v>
      </c>
      <c r="G116" s="4" t="s">
        <v>1565</v>
      </c>
      <c r="H116" s="4" t="s">
        <v>65</v>
      </c>
      <c r="I116" s="4" t="s">
        <v>97</v>
      </c>
      <c r="J116" s="4" t="s">
        <v>1566</v>
      </c>
      <c r="K116" s="4" t="s">
        <v>1567</v>
      </c>
      <c r="L116" s="5" t="s">
        <v>85</v>
      </c>
      <c r="M116" s="4" t="s">
        <v>1568</v>
      </c>
      <c r="N116" s="4" t="s">
        <v>85</v>
      </c>
      <c r="O116" s="4" t="s">
        <v>1569</v>
      </c>
      <c r="P116" s="4" t="s">
        <v>72</v>
      </c>
      <c r="Q116" s="4" t="s">
        <v>316</v>
      </c>
      <c r="R116" s="4" t="s">
        <v>74</v>
      </c>
      <c r="S116" s="4" t="s">
        <v>1570</v>
      </c>
      <c r="T116" s="4" t="s">
        <v>1571</v>
      </c>
      <c r="U116" s="4" t="s">
        <v>1572</v>
      </c>
      <c r="V116" s="4"/>
      <c r="W116" s="4" t="s">
        <v>1573</v>
      </c>
      <c r="X116" s="4" t="s">
        <v>1469</v>
      </c>
      <c r="Y116" s="4" t="s">
        <v>78</v>
      </c>
    </row>
    <row r="117" customFormat="false" ht="68.65" hidden="false" customHeight="false" outlineLevel="0" collapsed="false">
      <c r="A117" s="4" t="s">
        <v>1574</v>
      </c>
      <c r="B117" s="4" t="s">
        <v>1575</v>
      </c>
      <c r="C117" s="4" t="s">
        <v>1576</v>
      </c>
      <c r="D117" s="4" t="s">
        <v>61</v>
      </c>
      <c r="E117" s="4" t="s">
        <v>1438</v>
      </c>
      <c r="F117" s="4" t="s">
        <v>1577</v>
      </c>
      <c r="G117" s="4" t="s">
        <v>127</v>
      </c>
      <c r="H117" s="4" t="s">
        <v>61</v>
      </c>
      <c r="I117" s="4" t="s">
        <v>97</v>
      </c>
      <c r="J117" s="4" t="s">
        <v>1578</v>
      </c>
      <c r="K117" s="4" t="s">
        <v>1579</v>
      </c>
      <c r="L117" s="5" t="s">
        <v>85</v>
      </c>
      <c r="M117" s="4" t="s">
        <v>1580</v>
      </c>
      <c r="N117" s="4" t="s">
        <v>85</v>
      </c>
      <c r="O117" s="4" t="s">
        <v>1581</v>
      </c>
      <c r="P117" s="4" t="s">
        <v>72</v>
      </c>
      <c r="Q117" s="4" t="s">
        <v>316</v>
      </c>
      <c r="R117" s="4" t="s">
        <v>74</v>
      </c>
      <c r="S117" s="4" t="s">
        <v>1582</v>
      </c>
      <c r="T117" s="4" t="s">
        <v>1583</v>
      </c>
      <c r="U117" s="4" t="s">
        <v>1584</v>
      </c>
      <c r="V117" s="4"/>
      <c r="W117" s="4" t="s">
        <v>61</v>
      </c>
      <c r="X117" s="4" t="s">
        <v>1469</v>
      </c>
      <c r="Y117" s="4" t="s">
        <v>78</v>
      </c>
    </row>
    <row r="118" customFormat="false" ht="124.6" hidden="false" customHeight="false" outlineLevel="0" collapsed="false">
      <c r="A118" s="4" t="s">
        <v>1585</v>
      </c>
      <c r="B118" s="4" t="s">
        <v>1586</v>
      </c>
      <c r="C118" s="4" t="s">
        <v>1587</v>
      </c>
      <c r="D118" s="4" t="s">
        <v>65</v>
      </c>
      <c r="E118" s="4" t="s">
        <v>1438</v>
      </c>
      <c r="F118" s="4" t="s">
        <v>1588</v>
      </c>
      <c r="G118" s="4" t="s">
        <v>1589</v>
      </c>
      <c r="H118" s="4" t="s">
        <v>65</v>
      </c>
      <c r="I118" s="4" t="s">
        <v>97</v>
      </c>
      <c r="J118" s="4" t="s">
        <v>1590</v>
      </c>
      <c r="K118" s="4" t="s">
        <v>1591</v>
      </c>
      <c r="L118" s="6" t="s">
        <v>221</v>
      </c>
      <c r="M118" s="4" t="s">
        <v>1592</v>
      </c>
      <c r="N118" s="4" t="s">
        <v>1593</v>
      </c>
      <c r="O118" s="4" t="s">
        <v>1594</v>
      </c>
      <c r="P118" s="4" t="s">
        <v>854</v>
      </c>
      <c r="Q118" s="4" t="s">
        <v>74</v>
      </c>
      <c r="R118" s="4" t="s">
        <v>74</v>
      </c>
      <c r="S118" s="4" t="s">
        <v>1595</v>
      </c>
      <c r="T118" s="4" t="s">
        <v>1596</v>
      </c>
      <c r="U118" s="4" t="s">
        <v>1597</v>
      </c>
      <c r="V118" s="4" t="s">
        <v>1598</v>
      </c>
      <c r="W118" s="4" t="s">
        <v>1599</v>
      </c>
      <c r="X118" s="4" t="s">
        <v>1469</v>
      </c>
      <c r="Y118" s="4" t="s">
        <v>161</v>
      </c>
    </row>
    <row r="119" customFormat="false" ht="35.05" hidden="false" customHeight="false" outlineLevel="0" collapsed="false">
      <c r="A119" s="4" t="s">
        <v>1600</v>
      </c>
      <c r="B119" s="4" t="s">
        <v>1601</v>
      </c>
      <c r="C119" s="4" t="s">
        <v>1602</v>
      </c>
      <c r="D119" s="4" t="s">
        <v>61</v>
      </c>
      <c r="E119" s="4" t="s">
        <v>1438</v>
      </c>
      <c r="F119" s="4" t="s">
        <v>1603</v>
      </c>
      <c r="G119" s="4" t="s">
        <v>1604</v>
      </c>
      <c r="H119" s="4" t="s">
        <v>65</v>
      </c>
      <c r="I119" s="4" t="s">
        <v>128</v>
      </c>
      <c r="J119" s="4" t="s">
        <v>1605</v>
      </c>
      <c r="K119" s="4" t="s">
        <v>1606</v>
      </c>
      <c r="L119" s="5" t="s">
        <v>85</v>
      </c>
      <c r="M119" s="4" t="s">
        <v>1607</v>
      </c>
      <c r="N119" s="4" t="s">
        <v>85</v>
      </c>
      <c r="O119" s="4" t="s">
        <v>1608</v>
      </c>
      <c r="P119" s="4" t="s">
        <v>72</v>
      </c>
      <c r="Q119" s="4" t="s">
        <v>73</v>
      </c>
      <c r="R119" s="4" t="s">
        <v>74</v>
      </c>
      <c r="S119" s="4" t="s">
        <v>1609</v>
      </c>
      <c r="T119" s="4" t="s">
        <v>1610</v>
      </c>
      <c r="U119" s="4" t="s">
        <v>1611</v>
      </c>
      <c r="V119" s="4"/>
      <c r="W119" s="4" t="s">
        <v>1151</v>
      </c>
      <c r="X119" s="4" t="s">
        <v>1469</v>
      </c>
      <c r="Y119" s="4" t="s">
        <v>161</v>
      </c>
    </row>
    <row r="120" customFormat="false" ht="57.45" hidden="false" customHeight="false" outlineLevel="0" collapsed="false">
      <c r="A120" s="4" t="s">
        <v>1612</v>
      </c>
      <c r="B120" s="4" t="s">
        <v>1613</v>
      </c>
      <c r="C120" s="4" t="s">
        <v>1614</v>
      </c>
      <c r="D120" s="4" t="s">
        <v>61</v>
      </c>
      <c r="E120" s="4" t="s">
        <v>1438</v>
      </c>
      <c r="F120" s="4" t="s">
        <v>1615</v>
      </c>
      <c r="G120" s="4" t="s">
        <v>1616</v>
      </c>
      <c r="H120" s="4" t="s">
        <v>61</v>
      </c>
      <c r="I120" s="4" t="s">
        <v>66</v>
      </c>
      <c r="J120" s="4" t="s">
        <v>1617</v>
      </c>
      <c r="K120" s="4" t="s">
        <v>1618</v>
      </c>
      <c r="L120" s="5" t="s">
        <v>85</v>
      </c>
      <c r="M120" s="4" t="s">
        <v>1619</v>
      </c>
      <c r="N120" s="4" t="s">
        <v>85</v>
      </c>
      <c r="O120" s="4" t="s">
        <v>1608</v>
      </c>
      <c r="P120" s="4" t="s">
        <v>72</v>
      </c>
      <c r="Q120" s="4" t="s">
        <v>73</v>
      </c>
      <c r="R120" s="4" t="s">
        <v>74</v>
      </c>
      <c r="S120" s="4" t="s">
        <v>1620</v>
      </c>
      <c r="T120" s="4" t="s">
        <v>144</v>
      </c>
      <c r="U120" s="4" t="s">
        <v>1621</v>
      </c>
      <c r="V120" s="4" t="s">
        <v>1622</v>
      </c>
      <c r="W120" s="4" t="s">
        <v>61</v>
      </c>
      <c r="X120" s="4" t="s">
        <v>1469</v>
      </c>
      <c r="Y120" s="4" t="s">
        <v>161</v>
      </c>
    </row>
    <row r="121" customFormat="false" ht="46.25" hidden="false" customHeight="false" outlineLevel="0" collapsed="false">
      <c r="A121" s="4" t="s">
        <v>1623</v>
      </c>
      <c r="B121" s="4" t="s">
        <v>1624</v>
      </c>
      <c r="C121" s="4" t="s">
        <v>1625</v>
      </c>
      <c r="D121" s="4" t="s">
        <v>61</v>
      </c>
      <c r="E121" s="4" t="s">
        <v>1438</v>
      </c>
      <c r="F121" s="4" t="s">
        <v>1626</v>
      </c>
      <c r="G121" s="4" t="s">
        <v>1627</v>
      </c>
      <c r="H121" s="4" t="s">
        <v>65</v>
      </c>
      <c r="I121" s="4" t="s">
        <v>66</v>
      </c>
      <c r="J121" s="4" t="s">
        <v>1628</v>
      </c>
      <c r="K121" s="4" t="s">
        <v>1629</v>
      </c>
      <c r="L121" s="5" t="s">
        <v>85</v>
      </c>
      <c r="M121" s="4" t="s">
        <v>1630</v>
      </c>
      <c r="N121" s="4" t="s">
        <v>85</v>
      </c>
      <c r="O121" s="4" t="s">
        <v>1608</v>
      </c>
      <c r="P121" s="4" t="s">
        <v>72</v>
      </c>
      <c r="Q121" s="4" t="s">
        <v>73</v>
      </c>
      <c r="R121" s="4" t="s">
        <v>74</v>
      </c>
      <c r="S121" s="4" t="s">
        <v>1631</v>
      </c>
      <c r="T121" s="4" t="s">
        <v>1632</v>
      </c>
      <c r="U121" s="4" t="s">
        <v>1633</v>
      </c>
      <c r="V121" s="4" t="s">
        <v>1634</v>
      </c>
      <c r="W121" s="4" t="s">
        <v>1635</v>
      </c>
      <c r="X121" s="4" t="s">
        <v>1469</v>
      </c>
      <c r="Y121" s="4" t="s">
        <v>161</v>
      </c>
    </row>
    <row r="122" customFormat="false" ht="79.85" hidden="false" customHeight="false" outlineLevel="0" collapsed="false">
      <c r="A122" s="4" t="s">
        <v>1636</v>
      </c>
      <c r="B122" s="4" t="s">
        <v>1637</v>
      </c>
      <c r="C122" s="4" t="s">
        <v>1638</v>
      </c>
      <c r="D122" s="4" t="s">
        <v>61</v>
      </c>
      <c r="E122" s="4" t="s">
        <v>1438</v>
      </c>
      <c r="F122" s="4" t="s">
        <v>1639</v>
      </c>
      <c r="G122" s="4" t="s">
        <v>1640</v>
      </c>
      <c r="H122" s="4" t="s">
        <v>61</v>
      </c>
      <c r="I122" s="4" t="s">
        <v>66</v>
      </c>
      <c r="J122" s="4" t="s">
        <v>1641</v>
      </c>
      <c r="K122" s="4" t="s">
        <v>1642</v>
      </c>
      <c r="L122" s="5" t="s">
        <v>85</v>
      </c>
      <c r="M122" s="4" t="s">
        <v>1643</v>
      </c>
      <c r="N122" s="4" t="s">
        <v>85</v>
      </c>
      <c r="O122" s="4" t="s">
        <v>1608</v>
      </c>
      <c r="P122" s="4" t="s">
        <v>103</v>
      </c>
      <c r="Q122" s="4" t="s">
        <v>316</v>
      </c>
      <c r="R122" s="4" t="s">
        <v>74</v>
      </c>
      <c r="S122" s="4" t="s">
        <v>1644</v>
      </c>
      <c r="T122" s="4" t="s">
        <v>1645</v>
      </c>
      <c r="U122" s="4" t="s">
        <v>1646</v>
      </c>
      <c r="V122" s="4" t="s">
        <v>1647</v>
      </c>
      <c r="W122" s="4" t="s">
        <v>61</v>
      </c>
      <c r="X122" s="4" t="s">
        <v>1648</v>
      </c>
      <c r="Y122" s="4" t="s">
        <v>161</v>
      </c>
    </row>
    <row r="123" customFormat="false" ht="147" hidden="false" customHeight="false" outlineLevel="0" collapsed="false">
      <c r="A123" s="4" t="s">
        <v>1649</v>
      </c>
      <c r="B123" s="4" t="s">
        <v>1650</v>
      </c>
      <c r="C123" s="4" t="s">
        <v>1651</v>
      </c>
      <c r="D123" s="4" t="s">
        <v>61</v>
      </c>
      <c r="E123" s="4" t="s">
        <v>1438</v>
      </c>
      <c r="F123" s="4" t="s">
        <v>1652</v>
      </c>
      <c r="G123" s="4" t="s">
        <v>1653</v>
      </c>
      <c r="H123" s="4" t="s">
        <v>65</v>
      </c>
      <c r="I123" s="4" t="s">
        <v>97</v>
      </c>
      <c r="J123" s="4" t="s">
        <v>1654</v>
      </c>
      <c r="K123" s="4" t="s">
        <v>1655</v>
      </c>
      <c r="L123" s="6" t="s">
        <v>221</v>
      </c>
      <c r="M123" s="4" t="s">
        <v>1656</v>
      </c>
      <c r="N123" s="4" t="s">
        <v>85</v>
      </c>
      <c r="O123" s="4" t="s">
        <v>1608</v>
      </c>
      <c r="P123" s="4" t="s">
        <v>72</v>
      </c>
      <c r="Q123" s="4" t="s">
        <v>316</v>
      </c>
      <c r="R123" s="4" t="s">
        <v>1657</v>
      </c>
      <c r="S123" s="4" t="s">
        <v>1658</v>
      </c>
      <c r="T123" s="4" t="s">
        <v>1659</v>
      </c>
      <c r="U123" s="4" t="s">
        <v>1660</v>
      </c>
      <c r="V123" s="4"/>
      <c r="W123" s="4" t="s">
        <v>1661</v>
      </c>
      <c r="X123" s="4" t="s">
        <v>1469</v>
      </c>
      <c r="Y123" s="4" t="s">
        <v>161</v>
      </c>
    </row>
    <row r="124" customFormat="false" ht="57.45" hidden="false" customHeight="false" outlineLevel="0" collapsed="false">
      <c r="A124" s="4" t="s">
        <v>1662</v>
      </c>
      <c r="B124" s="4" t="s">
        <v>1663</v>
      </c>
      <c r="C124" s="4" t="s">
        <v>1664</v>
      </c>
      <c r="D124" s="4" t="s">
        <v>61</v>
      </c>
      <c r="E124" s="4" t="s">
        <v>1438</v>
      </c>
      <c r="F124" s="4" t="s">
        <v>1665</v>
      </c>
      <c r="G124" s="4" t="s">
        <v>1666</v>
      </c>
      <c r="H124" s="4" t="s">
        <v>65</v>
      </c>
      <c r="I124" s="4" t="s">
        <v>128</v>
      </c>
      <c r="J124" s="4" t="s">
        <v>1667</v>
      </c>
      <c r="K124" s="4" t="s">
        <v>85</v>
      </c>
      <c r="L124" s="6" t="s">
        <v>221</v>
      </c>
      <c r="M124" s="4" t="s">
        <v>1668</v>
      </c>
      <c r="N124" s="4" t="s">
        <v>85</v>
      </c>
      <c r="O124" s="4" t="s">
        <v>1608</v>
      </c>
      <c r="P124" s="4" t="s">
        <v>72</v>
      </c>
      <c r="Q124" s="4" t="s">
        <v>73</v>
      </c>
      <c r="R124" s="4" t="s">
        <v>74</v>
      </c>
      <c r="S124" s="4" t="s">
        <v>1669</v>
      </c>
      <c r="T124" s="4" t="s">
        <v>1670</v>
      </c>
      <c r="U124" s="4" t="s">
        <v>1671</v>
      </c>
      <c r="V124" s="4"/>
      <c r="W124" s="4" t="s">
        <v>1672</v>
      </c>
      <c r="X124" s="4" t="s">
        <v>517</v>
      </c>
      <c r="Y124" s="4" t="s">
        <v>161</v>
      </c>
    </row>
    <row r="125" customFormat="false" ht="79.85" hidden="false" customHeight="false" outlineLevel="0" collapsed="false">
      <c r="A125" s="4" t="s">
        <v>1673</v>
      </c>
      <c r="B125" s="4" t="s">
        <v>1674</v>
      </c>
      <c r="C125" s="4" t="s">
        <v>1675</v>
      </c>
      <c r="D125" s="4" t="s">
        <v>61</v>
      </c>
      <c r="E125" s="4" t="s">
        <v>1438</v>
      </c>
      <c r="F125" s="4" t="s">
        <v>1676</v>
      </c>
      <c r="G125" s="4" t="s">
        <v>1677</v>
      </c>
      <c r="H125" s="4" t="s">
        <v>61</v>
      </c>
      <c r="I125" s="4" t="s">
        <v>97</v>
      </c>
      <c r="J125" s="4" t="s">
        <v>1678</v>
      </c>
      <c r="K125" s="4" t="s">
        <v>1679</v>
      </c>
      <c r="L125" s="5" t="s">
        <v>85</v>
      </c>
      <c r="M125" s="4" t="s">
        <v>85</v>
      </c>
      <c r="N125" s="4" t="s">
        <v>85</v>
      </c>
      <c r="O125" s="4" t="s">
        <v>1680</v>
      </c>
      <c r="P125" s="4" t="s">
        <v>72</v>
      </c>
      <c r="Q125" s="4" t="s">
        <v>73</v>
      </c>
      <c r="R125" s="4" t="s">
        <v>74</v>
      </c>
      <c r="S125" s="4" t="s">
        <v>1681</v>
      </c>
      <c r="T125" s="4" t="s">
        <v>1682</v>
      </c>
      <c r="U125" s="4" t="s">
        <v>1683</v>
      </c>
      <c r="V125" s="4" t="s">
        <v>1684</v>
      </c>
      <c r="W125" s="4" t="s">
        <v>61</v>
      </c>
      <c r="X125" s="4" t="s">
        <v>1648</v>
      </c>
      <c r="Y125" s="4" t="s">
        <v>161</v>
      </c>
    </row>
    <row r="126" customFormat="false" ht="57.45" hidden="false" customHeight="false" outlineLevel="0" collapsed="false">
      <c r="A126" s="4" t="s">
        <v>1685</v>
      </c>
      <c r="B126" s="4" t="s">
        <v>1686</v>
      </c>
      <c r="C126" s="4" t="s">
        <v>1687</v>
      </c>
      <c r="D126" s="4" t="s">
        <v>65</v>
      </c>
      <c r="E126" s="4" t="s">
        <v>1438</v>
      </c>
      <c r="F126" s="4" t="s">
        <v>1688</v>
      </c>
      <c r="G126" s="4" t="s">
        <v>1689</v>
      </c>
      <c r="H126" s="4" t="s">
        <v>61</v>
      </c>
      <c r="I126" s="4" t="s">
        <v>66</v>
      </c>
      <c r="J126" s="4" t="s">
        <v>1690</v>
      </c>
      <c r="K126" s="4" t="s">
        <v>85</v>
      </c>
      <c r="L126" s="5" t="s">
        <v>85</v>
      </c>
      <c r="M126" s="4" t="s">
        <v>1619</v>
      </c>
      <c r="N126" s="4" t="s">
        <v>85</v>
      </c>
      <c r="O126" s="4" t="s">
        <v>1691</v>
      </c>
      <c r="P126" s="4" t="s">
        <v>72</v>
      </c>
      <c r="Q126" s="4" t="s">
        <v>73</v>
      </c>
      <c r="R126" s="4" t="s">
        <v>74</v>
      </c>
      <c r="S126" s="4" t="s">
        <v>1692</v>
      </c>
      <c r="T126" s="4" t="s">
        <v>144</v>
      </c>
      <c r="U126" s="4" t="s">
        <v>69</v>
      </c>
      <c r="V126" s="4"/>
      <c r="W126" s="4" t="s">
        <v>61</v>
      </c>
      <c r="X126" s="4" t="s">
        <v>1469</v>
      </c>
      <c r="Y126" s="4" t="s">
        <v>161</v>
      </c>
    </row>
    <row r="127" customFormat="false" ht="57.45" hidden="false" customHeight="false" outlineLevel="0" collapsed="false">
      <c r="A127" s="4" t="s">
        <v>1693</v>
      </c>
      <c r="B127" s="4" t="s">
        <v>1694</v>
      </c>
      <c r="C127" s="4" t="s">
        <v>1695</v>
      </c>
      <c r="D127" s="4" t="s">
        <v>61</v>
      </c>
      <c r="E127" s="4" t="s">
        <v>1438</v>
      </c>
      <c r="F127" s="4" t="s">
        <v>1696</v>
      </c>
      <c r="G127" s="4" t="s">
        <v>1697</v>
      </c>
      <c r="H127" s="4" t="s">
        <v>65</v>
      </c>
      <c r="I127" s="4" t="s">
        <v>128</v>
      </c>
      <c r="J127" s="4" t="s">
        <v>1698</v>
      </c>
      <c r="K127" s="4" t="s">
        <v>1699</v>
      </c>
      <c r="L127" s="5" t="s">
        <v>85</v>
      </c>
      <c r="M127" s="4" t="s">
        <v>1700</v>
      </c>
      <c r="N127" s="4" t="s">
        <v>85</v>
      </c>
      <c r="O127" s="4" t="s">
        <v>1701</v>
      </c>
      <c r="P127" s="4" t="s">
        <v>72</v>
      </c>
      <c r="Q127" s="4" t="s">
        <v>73</v>
      </c>
      <c r="R127" s="4" t="s">
        <v>74</v>
      </c>
      <c r="S127" s="4" t="s">
        <v>1702</v>
      </c>
      <c r="T127" s="4" t="s">
        <v>1703</v>
      </c>
      <c r="U127" s="4" t="s">
        <v>1704</v>
      </c>
      <c r="V127" s="4" t="s">
        <v>1705</v>
      </c>
      <c r="W127" s="4" t="s">
        <v>1706</v>
      </c>
      <c r="X127" s="4" t="s">
        <v>1469</v>
      </c>
      <c r="Y127" s="4" t="s">
        <v>678</v>
      </c>
    </row>
    <row r="128" customFormat="false" ht="79.85" hidden="false" customHeight="false" outlineLevel="0" collapsed="false">
      <c r="A128" s="4" t="s">
        <v>1707</v>
      </c>
      <c r="B128" s="4" t="s">
        <v>1708</v>
      </c>
      <c r="C128" s="4" t="s">
        <v>1709</v>
      </c>
      <c r="D128" s="4" t="s">
        <v>65</v>
      </c>
      <c r="E128" s="4" t="s">
        <v>1438</v>
      </c>
      <c r="F128" s="4" t="s">
        <v>1710</v>
      </c>
      <c r="G128" s="4" t="s">
        <v>1711</v>
      </c>
      <c r="H128" s="4" t="s">
        <v>65</v>
      </c>
      <c r="I128" s="4" t="s">
        <v>66</v>
      </c>
      <c r="J128" s="4" t="s">
        <v>1712</v>
      </c>
      <c r="K128" s="4" t="s">
        <v>1713</v>
      </c>
      <c r="L128" s="5" t="s">
        <v>85</v>
      </c>
      <c r="M128" s="4" t="s">
        <v>85</v>
      </c>
      <c r="N128" s="4" t="s">
        <v>85</v>
      </c>
      <c r="O128" s="4" t="s">
        <v>1714</v>
      </c>
      <c r="P128" s="4" t="s">
        <v>72</v>
      </c>
      <c r="Q128" s="4" t="s">
        <v>73</v>
      </c>
      <c r="R128" s="4" t="s">
        <v>1715</v>
      </c>
      <c r="S128" s="4" t="s">
        <v>1716</v>
      </c>
      <c r="T128" s="4" t="s">
        <v>1717</v>
      </c>
      <c r="U128" s="4" t="s">
        <v>1718</v>
      </c>
      <c r="V128" s="4"/>
      <c r="W128" s="4" t="s">
        <v>1719</v>
      </c>
      <c r="X128" s="4" t="s">
        <v>376</v>
      </c>
      <c r="Y128" s="4" t="s">
        <v>678</v>
      </c>
    </row>
    <row r="129" customFormat="false" ht="79.85" hidden="false" customHeight="false" outlineLevel="0" collapsed="false">
      <c r="A129" s="4" t="s">
        <v>1720</v>
      </c>
      <c r="B129" s="4" t="s">
        <v>1721</v>
      </c>
      <c r="C129" s="4" t="s">
        <v>1722</v>
      </c>
      <c r="D129" s="4" t="s">
        <v>65</v>
      </c>
      <c r="E129" s="4" t="s">
        <v>1438</v>
      </c>
      <c r="F129" s="4" t="s">
        <v>1723</v>
      </c>
      <c r="G129" s="4" t="s">
        <v>1724</v>
      </c>
      <c r="H129" s="4" t="s">
        <v>65</v>
      </c>
      <c r="I129" s="4" t="s">
        <v>66</v>
      </c>
      <c r="J129" s="4" t="s">
        <v>1725</v>
      </c>
      <c r="K129" s="4" t="s">
        <v>1726</v>
      </c>
      <c r="L129" s="5" t="s">
        <v>85</v>
      </c>
      <c r="M129" s="4" t="s">
        <v>1727</v>
      </c>
      <c r="N129" s="4" t="s">
        <v>1728</v>
      </c>
      <c r="O129" s="4" t="s">
        <v>1729</v>
      </c>
      <c r="P129" s="4" t="s">
        <v>72</v>
      </c>
      <c r="Q129" s="4" t="s">
        <v>74</v>
      </c>
      <c r="R129" s="4" t="s">
        <v>74</v>
      </c>
      <c r="S129" s="4" t="s">
        <v>1730</v>
      </c>
      <c r="T129" s="4" t="s">
        <v>1731</v>
      </c>
      <c r="U129" s="4" t="s">
        <v>1732</v>
      </c>
      <c r="V129" s="4" t="s">
        <v>1733</v>
      </c>
      <c r="W129" s="4" t="s">
        <v>1734</v>
      </c>
      <c r="X129" s="4" t="s">
        <v>376</v>
      </c>
      <c r="Y129" s="4" t="s">
        <v>678</v>
      </c>
    </row>
    <row r="130" customFormat="false" ht="57.45" hidden="false" customHeight="false" outlineLevel="0" collapsed="false">
      <c r="A130" s="4" t="s">
        <v>1735</v>
      </c>
      <c r="B130" s="4" t="s">
        <v>1736</v>
      </c>
      <c r="C130" s="4" t="s">
        <v>1737</v>
      </c>
      <c r="D130" s="4" t="s">
        <v>65</v>
      </c>
      <c r="E130" s="4" t="s">
        <v>1438</v>
      </c>
      <c r="F130" s="4" t="s">
        <v>1738</v>
      </c>
      <c r="G130" s="4" t="s">
        <v>127</v>
      </c>
      <c r="H130" s="4" t="s">
        <v>61</v>
      </c>
      <c r="I130" s="4" t="s">
        <v>128</v>
      </c>
      <c r="J130" s="4" t="s">
        <v>1739</v>
      </c>
      <c r="K130" s="4" t="s">
        <v>85</v>
      </c>
      <c r="L130" s="5" t="s">
        <v>85</v>
      </c>
      <c r="M130" s="4" t="s">
        <v>208</v>
      </c>
      <c r="N130" s="4" t="s">
        <v>85</v>
      </c>
      <c r="O130" s="4" t="s">
        <v>1740</v>
      </c>
      <c r="P130" s="4" t="s">
        <v>72</v>
      </c>
      <c r="Q130" s="4" t="s">
        <v>73</v>
      </c>
      <c r="R130" s="4" t="s">
        <v>74</v>
      </c>
      <c r="S130" s="4" t="s">
        <v>1741</v>
      </c>
      <c r="T130" s="4" t="s">
        <v>1717</v>
      </c>
      <c r="U130" s="4" t="s">
        <v>1742</v>
      </c>
      <c r="V130" s="4"/>
      <c r="W130" s="4" t="s">
        <v>61</v>
      </c>
      <c r="X130" s="4" t="s">
        <v>1469</v>
      </c>
      <c r="Y130" s="4" t="s">
        <v>678</v>
      </c>
    </row>
    <row r="131" customFormat="false" ht="57.45" hidden="false" customHeight="false" outlineLevel="0" collapsed="false">
      <c r="A131" s="4" t="s">
        <v>1743</v>
      </c>
      <c r="B131" s="4" t="s">
        <v>1744</v>
      </c>
      <c r="C131" s="4" t="s">
        <v>1745</v>
      </c>
      <c r="D131" s="4" t="s">
        <v>61</v>
      </c>
      <c r="E131" s="4" t="s">
        <v>1438</v>
      </c>
      <c r="F131" s="4" t="s">
        <v>1746</v>
      </c>
      <c r="G131" s="4" t="s">
        <v>1747</v>
      </c>
      <c r="H131" s="4" t="s">
        <v>61</v>
      </c>
      <c r="I131" s="4" t="s">
        <v>128</v>
      </c>
      <c r="J131" s="4" t="s">
        <v>1748</v>
      </c>
      <c r="K131" s="4" t="s">
        <v>1749</v>
      </c>
      <c r="L131" s="5" t="s">
        <v>85</v>
      </c>
      <c r="M131" s="4" t="s">
        <v>85</v>
      </c>
      <c r="N131" s="4" t="s">
        <v>85</v>
      </c>
      <c r="O131" s="4" t="s">
        <v>1750</v>
      </c>
      <c r="P131" s="4" t="s">
        <v>72</v>
      </c>
      <c r="Q131" s="4" t="s">
        <v>73</v>
      </c>
      <c r="R131" s="4" t="s">
        <v>74</v>
      </c>
      <c r="S131" s="4" t="s">
        <v>1751</v>
      </c>
      <c r="T131" s="4" t="s">
        <v>1752</v>
      </c>
      <c r="U131" s="4" t="s">
        <v>1753</v>
      </c>
      <c r="V131" s="4"/>
      <c r="W131" s="4" t="s">
        <v>61</v>
      </c>
      <c r="X131" s="4" t="s">
        <v>1469</v>
      </c>
      <c r="Y131" s="4" t="s">
        <v>390</v>
      </c>
    </row>
    <row r="132" customFormat="false" ht="57.45" hidden="false" customHeight="false" outlineLevel="0" collapsed="false">
      <c r="A132" s="4" t="s">
        <v>1754</v>
      </c>
      <c r="B132" s="4" t="s">
        <v>1755</v>
      </c>
      <c r="C132" s="4" t="s">
        <v>1756</v>
      </c>
      <c r="D132" s="4" t="s">
        <v>61</v>
      </c>
      <c r="E132" s="4" t="s">
        <v>1438</v>
      </c>
      <c r="F132" s="4" t="s">
        <v>1757</v>
      </c>
      <c r="G132" s="4" t="s">
        <v>1758</v>
      </c>
      <c r="H132" s="4" t="s">
        <v>61</v>
      </c>
      <c r="I132" s="4" t="s">
        <v>128</v>
      </c>
      <c r="J132" s="4" t="s">
        <v>1759</v>
      </c>
      <c r="K132" s="4" t="s">
        <v>1760</v>
      </c>
      <c r="L132" s="5" t="s">
        <v>85</v>
      </c>
      <c r="M132" s="4" t="s">
        <v>85</v>
      </c>
      <c r="N132" s="4" t="s">
        <v>85</v>
      </c>
      <c r="O132" s="4" t="s">
        <v>1750</v>
      </c>
      <c r="P132" s="4" t="s">
        <v>72</v>
      </c>
      <c r="Q132" s="4" t="s">
        <v>316</v>
      </c>
      <c r="R132" s="4" t="s">
        <v>74</v>
      </c>
      <c r="S132" s="4" t="s">
        <v>1761</v>
      </c>
      <c r="T132" s="4" t="s">
        <v>1762</v>
      </c>
      <c r="U132" s="4" t="s">
        <v>1763</v>
      </c>
      <c r="V132" s="4"/>
      <c r="W132" s="4" t="s">
        <v>61</v>
      </c>
      <c r="X132" s="4" t="s">
        <v>1648</v>
      </c>
      <c r="Y132" s="4" t="s">
        <v>390</v>
      </c>
    </row>
    <row r="133" customFormat="false" ht="68.65" hidden="false" customHeight="false" outlineLevel="0" collapsed="false">
      <c r="A133" s="4" t="s">
        <v>1764</v>
      </c>
      <c r="B133" s="4" t="s">
        <v>1765</v>
      </c>
      <c r="C133" s="4" t="s">
        <v>1766</v>
      </c>
      <c r="D133" s="4" t="s">
        <v>61</v>
      </c>
      <c r="E133" s="4" t="s">
        <v>1438</v>
      </c>
      <c r="F133" s="4" t="s">
        <v>1767</v>
      </c>
      <c r="G133" s="4" t="s">
        <v>1768</v>
      </c>
      <c r="H133" s="4" t="s">
        <v>65</v>
      </c>
      <c r="I133" s="4" t="s">
        <v>128</v>
      </c>
      <c r="J133" s="4" t="s">
        <v>1769</v>
      </c>
      <c r="K133" s="4" t="s">
        <v>1770</v>
      </c>
      <c r="L133" s="5" t="s">
        <v>85</v>
      </c>
      <c r="M133" s="4" t="s">
        <v>1771</v>
      </c>
      <c r="N133" s="4" t="s">
        <v>85</v>
      </c>
      <c r="O133" s="4" t="s">
        <v>1772</v>
      </c>
      <c r="P133" s="4" t="s">
        <v>72</v>
      </c>
      <c r="Q133" s="4" t="s">
        <v>73</v>
      </c>
      <c r="R133" s="4" t="s">
        <v>74</v>
      </c>
      <c r="S133" s="4" t="s">
        <v>1773</v>
      </c>
      <c r="T133" s="4" t="s">
        <v>1774</v>
      </c>
      <c r="U133" s="4" t="s">
        <v>1775</v>
      </c>
      <c r="V133" s="4"/>
      <c r="W133" s="4" t="s">
        <v>1776</v>
      </c>
      <c r="X133" s="4" t="s">
        <v>1469</v>
      </c>
      <c r="Y133" s="4" t="s">
        <v>390</v>
      </c>
    </row>
    <row r="134" customFormat="false" ht="147" hidden="false" customHeight="false" outlineLevel="0" collapsed="false">
      <c r="A134" s="4" t="s">
        <v>1777</v>
      </c>
      <c r="B134" s="4" t="s">
        <v>1778</v>
      </c>
      <c r="C134" s="4" t="s">
        <v>1779</v>
      </c>
      <c r="D134" s="4" t="s">
        <v>65</v>
      </c>
      <c r="E134" s="4" t="s">
        <v>1438</v>
      </c>
      <c r="F134" s="4" t="s">
        <v>1780</v>
      </c>
      <c r="G134" s="4" t="s">
        <v>1781</v>
      </c>
      <c r="H134" s="4" t="s">
        <v>65</v>
      </c>
      <c r="I134" s="4" t="s">
        <v>97</v>
      </c>
      <c r="J134" s="4" t="s">
        <v>1782</v>
      </c>
      <c r="K134" s="4" t="s">
        <v>1783</v>
      </c>
      <c r="L134" s="5" t="s">
        <v>85</v>
      </c>
      <c r="M134" s="4" t="s">
        <v>1784</v>
      </c>
      <c r="N134" s="4" t="s">
        <v>1785</v>
      </c>
      <c r="O134" s="4" t="s">
        <v>1786</v>
      </c>
      <c r="P134" s="4" t="s">
        <v>854</v>
      </c>
      <c r="Q134" s="4" t="s">
        <v>74</v>
      </c>
      <c r="R134" s="4" t="s">
        <v>1787</v>
      </c>
      <c r="S134" s="4" t="s">
        <v>1788</v>
      </c>
      <c r="T134" s="4" t="s">
        <v>1789</v>
      </c>
      <c r="U134" s="4" t="s">
        <v>1790</v>
      </c>
      <c r="V134" s="4" t="s">
        <v>1791</v>
      </c>
      <c r="W134" s="4" t="s">
        <v>1792</v>
      </c>
      <c r="X134" s="4" t="s">
        <v>1469</v>
      </c>
      <c r="Y134" s="4" t="s">
        <v>390</v>
      </c>
    </row>
    <row r="135" customFormat="false" ht="68.65" hidden="false" customHeight="false" outlineLevel="0" collapsed="false">
      <c r="A135" s="4" t="s">
        <v>1793</v>
      </c>
      <c r="B135" s="4" t="s">
        <v>1794</v>
      </c>
      <c r="C135" s="4" t="s">
        <v>1795</v>
      </c>
      <c r="D135" s="4" t="s">
        <v>61</v>
      </c>
      <c r="E135" s="4" t="s">
        <v>1438</v>
      </c>
      <c r="F135" s="4" t="s">
        <v>1796</v>
      </c>
      <c r="G135" s="4" t="s">
        <v>1797</v>
      </c>
      <c r="H135" s="4" t="s">
        <v>61</v>
      </c>
      <c r="I135" s="4" t="s">
        <v>97</v>
      </c>
      <c r="J135" s="4" t="s">
        <v>1798</v>
      </c>
      <c r="K135" s="4" t="s">
        <v>1799</v>
      </c>
      <c r="L135" s="5" t="s">
        <v>85</v>
      </c>
      <c r="M135" s="4" t="s">
        <v>85</v>
      </c>
      <c r="N135" s="4" t="s">
        <v>85</v>
      </c>
      <c r="O135" s="4" t="s">
        <v>1750</v>
      </c>
      <c r="P135" s="4" t="s">
        <v>72</v>
      </c>
      <c r="Q135" s="4" t="s">
        <v>74</v>
      </c>
      <c r="R135" s="4" t="s">
        <v>74</v>
      </c>
      <c r="S135" s="4" t="s">
        <v>1800</v>
      </c>
      <c r="T135" s="4" t="s">
        <v>1801</v>
      </c>
      <c r="U135" s="4" t="s">
        <v>1802</v>
      </c>
      <c r="V135" s="4"/>
      <c r="W135" s="4" t="s">
        <v>61</v>
      </c>
      <c r="X135" s="4" t="s">
        <v>1648</v>
      </c>
      <c r="Y135" s="4" t="s">
        <v>390</v>
      </c>
    </row>
    <row r="136" customFormat="false" ht="68.65" hidden="false" customHeight="false" outlineLevel="0" collapsed="false">
      <c r="A136" s="4" t="s">
        <v>1803</v>
      </c>
      <c r="B136" s="4" t="s">
        <v>1804</v>
      </c>
      <c r="C136" s="4" t="s">
        <v>1805</v>
      </c>
      <c r="D136" s="4" t="s">
        <v>61</v>
      </c>
      <c r="E136" s="4" t="s">
        <v>1438</v>
      </c>
      <c r="F136" s="4" t="s">
        <v>1806</v>
      </c>
      <c r="G136" s="4" t="s">
        <v>1807</v>
      </c>
      <c r="H136" s="4" t="s">
        <v>61</v>
      </c>
      <c r="I136" s="4" t="s">
        <v>66</v>
      </c>
      <c r="J136" s="4" t="s">
        <v>1808</v>
      </c>
      <c r="K136" s="4" t="s">
        <v>1809</v>
      </c>
      <c r="L136" s="5" t="s">
        <v>85</v>
      </c>
      <c r="M136" s="4" t="s">
        <v>85</v>
      </c>
      <c r="N136" s="4" t="s">
        <v>85</v>
      </c>
      <c r="O136" s="4" t="s">
        <v>1750</v>
      </c>
      <c r="P136" s="4" t="s">
        <v>103</v>
      </c>
      <c r="Q136" s="4" t="s">
        <v>74</v>
      </c>
      <c r="R136" s="4" t="s">
        <v>74</v>
      </c>
      <c r="S136" s="4" t="s">
        <v>1810</v>
      </c>
      <c r="T136" s="4" t="s">
        <v>1811</v>
      </c>
      <c r="U136" s="4" t="s">
        <v>1812</v>
      </c>
      <c r="V136" s="4" t="s">
        <v>1813</v>
      </c>
      <c r="W136" s="4" t="s">
        <v>1814</v>
      </c>
      <c r="X136" s="4" t="s">
        <v>376</v>
      </c>
      <c r="Y136" s="4" t="s">
        <v>390</v>
      </c>
    </row>
    <row r="137" customFormat="false" ht="158.2" hidden="false" customHeight="false" outlineLevel="0" collapsed="false">
      <c r="A137" s="4" t="s">
        <v>1815</v>
      </c>
      <c r="B137" s="4" t="s">
        <v>1816</v>
      </c>
      <c r="C137" s="4" t="s">
        <v>1817</v>
      </c>
      <c r="D137" s="4" t="s">
        <v>61</v>
      </c>
      <c r="E137" s="4" t="s">
        <v>1438</v>
      </c>
      <c r="F137" s="4" t="s">
        <v>1818</v>
      </c>
      <c r="G137" s="4" t="s">
        <v>1819</v>
      </c>
      <c r="H137" s="4" t="s">
        <v>65</v>
      </c>
      <c r="I137" s="4" t="s">
        <v>97</v>
      </c>
      <c r="J137" s="4" t="s">
        <v>1820</v>
      </c>
      <c r="K137" s="4" t="s">
        <v>1821</v>
      </c>
      <c r="L137" s="6" t="s">
        <v>221</v>
      </c>
      <c r="M137" s="4" t="s">
        <v>1822</v>
      </c>
      <c r="N137" s="4" t="s">
        <v>1823</v>
      </c>
      <c r="O137" s="4" t="s">
        <v>1824</v>
      </c>
      <c r="P137" s="4" t="s">
        <v>854</v>
      </c>
      <c r="Q137" s="4" t="s">
        <v>74</v>
      </c>
      <c r="R137" s="4" t="s">
        <v>1825</v>
      </c>
      <c r="S137" s="4" t="s">
        <v>1826</v>
      </c>
      <c r="T137" s="4" t="s">
        <v>1827</v>
      </c>
      <c r="U137" s="4" t="s">
        <v>1828</v>
      </c>
      <c r="V137" s="4" t="s">
        <v>1829</v>
      </c>
      <c r="W137" s="4" t="s">
        <v>1830</v>
      </c>
      <c r="X137" s="4" t="s">
        <v>1469</v>
      </c>
      <c r="Y137" s="4" t="s">
        <v>390</v>
      </c>
    </row>
    <row r="138" customFormat="false" ht="46.25" hidden="false" customHeight="false" outlineLevel="0" collapsed="false">
      <c r="A138" s="4" t="s">
        <v>1831</v>
      </c>
      <c r="B138" s="4" t="s">
        <v>1832</v>
      </c>
      <c r="C138" s="4" t="s">
        <v>1833</v>
      </c>
      <c r="D138" s="4" t="s">
        <v>61</v>
      </c>
      <c r="E138" s="4" t="s">
        <v>1438</v>
      </c>
      <c r="F138" s="4" t="s">
        <v>1834</v>
      </c>
      <c r="G138" s="4" t="s">
        <v>1835</v>
      </c>
      <c r="H138" s="4" t="s">
        <v>61</v>
      </c>
      <c r="I138" s="4" t="s">
        <v>128</v>
      </c>
      <c r="J138" s="4" t="s">
        <v>1836</v>
      </c>
      <c r="K138" s="4" t="s">
        <v>1837</v>
      </c>
      <c r="L138" s="7" t="s">
        <v>261</v>
      </c>
      <c r="M138" s="4" t="s">
        <v>1838</v>
      </c>
      <c r="N138" s="4" t="s">
        <v>85</v>
      </c>
      <c r="O138" s="4" t="s">
        <v>1302</v>
      </c>
      <c r="P138" s="4" t="s">
        <v>72</v>
      </c>
      <c r="Q138" s="4" t="s">
        <v>73</v>
      </c>
      <c r="R138" s="4" t="s">
        <v>74</v>
      </c>
      <c r="S138" s="4" t="s">
        <v>1839</v>
      </c>
      <c r="T138" s="4" t="s">
        <v>1840</v>
      </c>
      <c r="U138" s="4" t="s">
        <v>1841</v>
      </c>
      <c r="V138" s="4"/>
      <c r="W138" s="4" t="s">
        <v>61</v>
      </c>
      <c r="X138" s="4" t="s">
        <v>1469</v>
      </c>
      <c r="Y138" s="4" t="s">
        <v>390</v>
      </c>
    </row>
    <row r="139" customFormat="false" ht="79.85" hidden="false" customHeight="false" outlineLevel="0" collapsed="false">
      <c r="A139" s="4" t="s">
        <v>1842</v>
      </c>
      <c r="B139" s="4" t="s">
        <v>1843</v>
      </c>
      <c r="C139" s="4" t="s">
        <v>1844</v>
      </c>
      <c r="D139" s="4" t="s">
        <v>61</v>
      </c>
      <c r="E139" s="4" t="s">
        <v>1438</v>
      </c>
      <c r="F139" s="4" t="s">
        <v>1845</v>
      </c>
      <c r="G139" s="4" t="s">
        <v>1846</v>
      </c>
      <c r="H139" s="4" t="s">
        <v>61</v>
      </c>
      <c r="I139" s="4" t="s">
        <v>66</v>
      </c>
      <c r="J139" s="4" t="s">
        <v>1847</v>
      </c>
      <c r="K139" s="4" t="s">
        <v>1848</v>
      </c>
      <c r="L139" s="6" t="s">
        <v>221</v>
      </c>
      <c r="M139" s="4" t="s">
        <v>1849</v>
      </c>
      <c r="N139" s="4" t="s">
        <v>85</v>
      </c>
      <c r="O139" s="4" t="s">
        <v>1302</v>
      </c>
      <c r="P139" s="4" t="s">
        <v>72</v>
      </c>
      <c r="Q139" s="4" t="s">
        <v>316</v>
      </c>
      <c r="R139" s="4" t="s">
        <v>74</v>
      </c>
      <c r="S139" s="4" t="s">
        <v>1850</v>
      </c>
      <c r="T139" s="4" t="s">
        <v>1851</v>
      </c>
      <c r="U139" s="4" t="s">
        <v>1852</v>
      </c>
      <c r="V139" s="4"/>
      <c r="W139" s="4" t="s">
        <v>61</v>
      </c>
      <c r="X139" s="4" t="s">
        <v>1036</v>
      </c>
      <c r="Y139" s="4" t="s">
        <v>390</v>
      </c>
    </row>
    <row r="140" customFormat="false" ht="113.4" hidden="false" customHeight="false" outlineLevel="0" collapsed="false">
      <c r="A140" s="4" t="s">
        <v>1853</v>
      </c>
      <c r="B140" s="4" t="s">
        <v>1854</v>
      </c>
      <c r="C140" s="4" t="s">
        <v>1855</v>
      </c>
      <c r="D140" s="4" t="s">
        <v>61</v>
      </c>
      <c r="E140" s="4" t="s">
        <v>1438</v>
      </c>
      <c r="F140" s="4" t="s">
        <v>1856</v>
      </c>
      <c r="G140" s="4" t="s">
        <v>1857</v>
      </c>
      <c r="H140" s="4" t="s">
        <v>61</v>
      </c>
      <c r="I140" s="4" t="s">
        <v>97</v>
      </c>
      <c r="J140" s="4" t="s">
        <v>1858</v>
      </c>
      <c r="K140" s="4" t="s">
        <v>1859</v>
      </c>
      <c r="L140" s="5" t="s">
        <v>85</v>
      </c>
      <c r="M140" s="4" t="s">
        <v>1860</v>
      </c>
      <c r="N140" s="4" t="s">
        <v>85</v>
      </c>
      <c r="O140" s="4" t="s">
        <v>1302</v>
      </c>
      <c r="P140" s="4" t="s">
        <v>103</v>
      </c>
      <c r="Q140" s="4" t="s">
        <v>74</v>
      </c>
      <c r="R140" s="4" t="s">
        <v>74</v>
      </c>
      <c r="S140" s="4" t="s">
        <v>1861</v>
      </c>
      <c r="T140" s="4" t="s">
        <v>1862</v>
      </c>
      <c r="U140" s="4" t="s">
        <v>1863</v>
      </c>
      <c r="V140" s="4" t="s">
        <v>1864</v>
      </c>
      <c r="W140" s="4" t="s">
        <v>61</v>
      </c>
      <c r="X140" s="4" t="s">
        <v>1469</v>
      </c>
      <c r="Y140" s="4" t="s">
        <v>390</v>
      </c>
    </row>
    <row r="141" customFormat="false" ht="79.85" hidden="false" customHeight="false" outlineLevel="0" collapsed="false">
      <c r="A141" s="4" t="s">
        <v>1865</v>
      </c>
      <c r="B141" s="4" t="s">
        <v>1866</v>
      </c>
      <c r="C141" s="4" t="s">
        <v>1867</v>
      </c>
      <c r="D141" s="4" t="s">
        <v>61</v>
      </c>
      <c r="E141" s="4" t="s">
        <v>1438</v>
      </c>
      <c r="F141" s="4" t="s">
        <v>1868</v>
      </c>
      <c r="G141" s="4" t="s">
        <v>1869</v>
      </c>
      <c r="H141" s="4" t="s">
        <v>65</v>
      </c>
      <c r="I141" s="4" t="s">
        <v>97</v>
      </c>
      <c r="J141" s="4" t="s">
        <v>1870</v>
      </c>
      <c r="K141" s="4" t="s">
        <v>1871</v>
      </c>
      <c r="L141" s="6" t="s">
        <v>221</v>
      </c>
      <c r="M141" s="4" t="s">
        <v>1872</v>
      </c>
      <c r="N141" s="4" t="s">
        <v>85</v>
      </c>
      <c r="O141" s="4" t="s">
        <v>1302</v>
      </c>
      <c r="P141" s="4" t="s">
        <v>72</v>
      </c>
      <c r="Q141" s="4" t="s">
        <v>316</v>
      </c>
      <c r="R141" s="4" t="s">
        <v>1873</v>
      </c>
      <c r="S141" s="4" t="s">
        <v>1874</v>
      </c>
      <c r="T141" s="4" t="s">
        <v>1875</v>
      </c>
      <c r="U141" s="4" t="s">
        <v>1876</v>
      </c>
      <c r="V141" s="4"/>
      <c r="W141" s="4" t="s">
        <v>1877</v>
      </c>
      <c r="X141" s="4" t="s">
        <v>1469</v>
      </c>
      <c r="Y141" s="4" t="s">
        <v>390</v>
      </c>
    </row>
    <row r="142" customFormat="false" ht="68.65" hidden="false" customHeight="false" outlineLevel="0" collapsed="false">
      <c r="A142" s="4" t="s">
        <v>1878</v>
      </c>
      <c r="B142" s="4" t="s">
        <v>1879</v>
      </c>
      <c r="C142" s="4" t="s">
        <v>1880</v>
      </c>
      <c r="D142" s="4" t="s">
        <v>61</v>
      </c>
      <c r="E142" s="4" t="s">
        <v>1438</v>
      </c>
      <c r="F142" s="4" t="s">
        <v>1881</v>
      </c>
      <c r="G142" s="4" t="s">
        <v>1882</v>
      </c>
      <c r="H142" s="4" t="s">
        <v>65</v>
      </c>
      <c r="I142" s="4" t="s">
        <v>128</v>
      </c>
      <c r="J142" s="4" t="s">
        <v>1883</v>
      </c>
      <c r="K142" s="4" t="s">
        <v>1884</v>
      </c>
      <c r="L142" s="5" t="s">
        <v>85</v>
      </c>
      <c r="M142" s="4" t="s">
        <v>1885</v>
      </c>
      <c r="N142" s="4" t="s">
        <v>85</v>
      </c>
      <c r="O142" s="4" t="s">
        <v>1886</v>
      </c>
      <c r="P142" s="4" t="s">
        <v>72</v>
      </c>
      <c r="Q142" s="4" t="s">
        <v>73</v>
      </c>
      <c r="R142" s="4" t="s">
        <v>74</v>
      </c>
      <c r="S142" s="4" t="s">
        <v>1887</v>
      </c>
      <c r="T142" s="4" t="s">
        <v>1888</v>
      </c>
      <c r="U142" s="4" t="s">
        <v>1889</v>
      </c>
      <c r="V142" s="4"/>
      <c r="W142" s="4" t="s">
        <v>1890</v>
      </c>
      <c r="X142" s="4" t="s">
        <v>1447</v>
      </c>
      <c r="Y142" s="4" t="s">
        <v>390</v>
      </c>
    </row>
    <row r="143" customFormat="false" ht="79.85" hidden="false" customHeight="false" outlineLevel="0" collapsed="false">
      <c r="A143" s="4" t="s">
        <v>1891</v>
      </c>
      <c r="B143" s="4" t="s">
        <v>1892</v>
      </c>
      <c r="C143" s="4" t="s">
        <v>1893</v>
      </c>
      <c r="D143" s="4" t="s">
        <v>61</v>
      </c>
      <c r="E143" s="4" t="s">
        <v>1438</v>
      </c>
      <c r="F143" s="4" t="s">
        <v>1894</v>
      </c>
      <c r="G143" s="4" t="s">
        <v>1895</v>
      </c>
      <c r="H143" s="4" t="s">
        <v>65</v>
      </c>
      <c r="I143" s="4" t="s">
        <v>97</v>
      </c>
      <c r="J143" s="4" t="s">
        <v>1896</v>
      </c>
      <c r="K143" s="4" t="s">
        <v>1897</v>
      </c>
      <c r="L143" s="5" t="s">
        <v>85</v>
      </c>
      <c r="M143" s="4" t="s">
        <v>1898</v>
      </c>
      <c r="N143" s="4" t="s">
        <v>85</v>
      </c>
      <c r="O143" s="4" t="s">
        <v>1302</v>
      </c>
      <c r="P143" s="4" t="s">
        <v>103</v>
      </c>
      <c r="Q143" s="4" t="s">
        <v>74</v>
      </c>
      <c r="R143" s="4" t="s">
        <v>74</v>
      </c>
      <c r="S143" s="4" t="s">
        <v>1899</v>
      </c>
      <c r="T143" s="4" t="s">
        <v>1900</v>
      </c>
      <c r="U143" s="4" t="s">
        <v>1901</v>
      </c>
      <c r="V143" s="4"/>
      <c r="W143" s="4" t="s">
        <v>1902</v>
      </c>
      <c r="X143" s="4" t="s">
        <v>376</v>
      </c>
      <c r="Y143" s="4" t="s">
        <v>390</v>
      </c>
    </row>
    <row r="144" customFormat="false" ht="57.45" hidden="false" customHeight="false" outlineLevel="0" collapsed="false">
      <c r="A144" s="4" t="s">
        <v>1903</v>
      </c>
      <c r="B144" s="4" t="s">
        <v>1904</v>
      </c>
      <c r="C144" s="4" t="s">
        <v>1905</v>
      </c>
      <c r="D144" s="4" t="s">
        <v>65</v>
      </c>
      <c r="E144" s="4" t="s">
        <v>1438</v>
      </c>
      <c r="F144" s="4" t="s">
        <v>1906</v>
      </c>
      <c r="G144" s="4" t="s">
        <v>1907</v>
      </c>
      <c r="H144" s="4" t="s">
        <v>61</v>
      </c>
      <c r="I144" s="4" t="s">
        <v>128</v>
      </c>
      <c r="J144" s="4" t="s">
        <v>1908</v>
      </c>
      <c r="K144" s="4" t="s">
        <v>1909</v>
      </c>
      <c r="L144" s="6" t="s">
        <v>221</v>
      </c>
      <c r="M144" s="4" t="s">
        <v>1910</v>
      </c>
      <c r="N144" s="4" t="s">
        <v>85</v>
      </c>
      <c r="O144" s="4" t="s">
        <v>1911</v>
      </c>
      <c r="P144" s="4" t="s">
        <v>72</v>
      </c>
      <c r="Q144" s="4" t="s">
        <v>73</v>
      </c>
      <c r="R144" s="4" t="s">
        <v>74</v>
      </c>
      <c r="S144" s="4" t="s">
        <v>1912</v>
      </c>
      <c r="T144" s="4" t="s">
        <v>144</v>
      </c>
      <c r="U144" s="4" t="s">
        <v>1913</v>
      </c>
      <c r="V144" s="4" t="s">
        <v>1914</v>
      </c>
      <c r="W144" s="4" t="s">
        <v>61</v>
      </c>
      <c r="X144" s="4" t="s">
        <v>1469</v>
      </c>
      <c r="Y144" s="4" t="s">
        <v>390</v>
      </c>
    </row>
    <row r="145" customFormat="false" ht="46.25" hidden="false" customHeight="false" outlineLevel="0" collapsed="false">
      <c r="A145" s="4" t="s">
        <v>1915</v>
      </c>
      <c r="B145" s="4" t="s">
        <v>1916</v>
      </c>
      <c r="C145" s="4" t="s">
        <v>1917</v>
      </c>
      <c r="D145" s="4" t="s">
        <v>65</v>
      </c>
      <c r="E145" s="4" t="s">
        <v>1438</v>
      </c>
      <c r="F145" s="4" t="s">
        <v>1918</v>
      </c>
      <c r="G145" s="4" t="s">
        <v>1919</v>
      </c>
      <c r="H145" s="4" t="s">
        <v>61</v>
      </c>
      <c r="I145" s="4" t="s">
        <v>66</v>
      </c>
      <c r="J145" s="4" t="s">
        <v>1920</v>
      </c>
      <c r="K145" s="4" t="s">
        <v>1904</v>
      </c>
      <c r="L145" s="5" t="s">
        <v>85</v>
      </c>
      <c r="M145" s="4" t="s">
        <v>85</v>
      </c>
      <c r="N145" s="4" t="s">
        <v>85</v>
      </c>
      <c r="O145" s="4" t="s">
        <v>1921</v>
      </c>
      <c r="P145" s="4" t="s">
        <v>72</v>
      </c>
      <c r="Q145" s="4" t="s">
        <v>73</v>
      </c>
      <c r="R145" s="4" t="s">
        <v>74</v>
      </c>
      <c r="S145" s="4" t="s">
        <v>1922</v>
      </c>
      <c r="T145" s="4" t="s">
        <v>144</v>
      </c>
      <c r="U145" s="4" t="s">
        <v>1923</v>
      </c>
      <c r="V145" s="4"/>
      <c r="W145" s="4" t="s">
        <v>61</v>
      </c>
      <c r="X145" s="4" t="s">
        <v>1469</v>
      </c>
      <c r="Y145" s="4" t="s">
        <v>390</v>
      </c>
    </row>
    <row r="146" customFormat="false" ht="57.45" hidden="false" customHeight="false" outlineLevel="0" collapsed="false">
      <c r="A146" s="4" t="s">
        <v>1924</v>
      </c>
      <c r="B146" s="4" t="s">
        <v>1925</v>
      </c>
      <c r="C146" s="4" t="s">
        <v>1926</v>
      </c>
      <c r="D146" s="4" t="s">
        <v>65</v>
      </c>
      <c r="E146" s="4" t="s">
        <v>1438</v>
      </c>
      <c r="F146" s="4" t="s">
        <v>1927</v>
      </c>
      <c r="G146" s="4" t="s">
        <v>1928</v>
      </c>
      <c r="H146" s="4" t="s">
        <v>61</v>
      </c>
      <c r="I146" s="4" t="s">
        <v>66</v>
      </c>
      <c r="J146" s="4" t="s">
        <v>1929</v>
      </c>
      <c r="K146" s="4" t="s">
        <v>85</v>
      </c>
      <c r="L146" s="5" t="s">
        <v>85</v>
      </c>
      <c r="M146" s="4" t="s">
        <v>85</v>
      </c>
      <c r="N146" s="4" t="s">
        <v>85</v>
      </c>
      <c r="O146" s="4" t="s">
        <v>1930</v>
      </c>
      <c r="P146" s="4" t="s">
        <v>72</v>
      </c>
      <c r="Q146" s="4" t="s">
        <v>73</v>
      </c>
      <c r="R146" s="4" t="s">
        <v>1931</v>
      </c>
      <c r="S146" s="4" t="s">
        <v>1209</v>
      </c>
      <c r="T146" s="4" t="s">
        <v>144</v>
      </c>
      <c r="U146" s="4" t="s">
        <v>1932</v>
      </c>
      <c r="V146" s="4"/>
      <c r="W146" s="4" t="s">
        <v>61</v>
      </c>
      <c r="X146" s="4" t="s">
        <v>1469</v>
      </c>
      <c r="Y146" s="4" t="s">
        <v>390</v>
      </c>
    </row>
    <row r="147" customFormat="false" ht="68.65" hidden="false" customHeight="false" outlineLevel="0" collapsed="false">
      <c r="A147" s="4" t="s">
        <v>1933</v>
      </c>
      <c r="B147" s="4" t="s">
        <v>1736</v>
      </c>
      <c r="C147" s="4" t="s">
        <v>1934</v>
      </c>
      <c r="D147" s="4" t="s">
        <v>65</v>
      </c>
      <c r="E147" s="4" t="s">
        <v>1438</v>
      </c>
      <c r="F147" s="4" t="s">
        <v>1738</v>
      </c>
      <c r="G147" s="4" t="s">
        <v>127</v>
      </c>
      <c r="H147" s="4" t="s">
        <v>61</v>
      </c>
      <c r="I147" s="4" t="s">
        <v>128</v>
      </c>
      <c r="J147" s="4" t="s">
        <v>1935</v>
      </c>
      <c r="K147" s="4" t="s">
        <v>85</v>
      </c>
      <c r="L147" s="5" t="s">
        <v>85</v>
      </c>
      <c r="M147" s="4" t="s">
        <v>85</v>
      </c>
      <c r="N147" s="4" t="s">
        <v>85</v>
      </c>
      <c r="O147" s="4" t="s">
        <v>1936</v>
      </c>
      <c r="P147" s="4" t="s">
        <v>72</v>
      </c>
      <c r="Q147" s="4" t="s">
        <v>73</v>
      </c>
      <c r="R147" s="4" t="s">
        <v>74</v>
      </c>
      <c r="S147" s="4" t="s">
        <v>1937</v>
      </c>
      <c r="T147" s="4" t="s">
        <v>144</v>
      </c>
      <c r="U147" s="4" t="s">
        <v>1938</v>
      </c>
      <c r="V147" s="4"/>
      <c r="W147" s="4" t="s">
        <v>61</v>
      </c>
      <c r="X147" s="4" t="s">
        <v>1469</v>
      </c>
      <c r="Y147" s="4" t="s">
        <v>390</v>
      </c>
    </row>
    <row r="148" customFormat="false" ht="46.25" hidden="false" customHeight="false" outlineLevel="0" collapsed="false">
      <c r="A148" s="4" t="s">
        <v>1939</v>
      </c>
      <c r="B148" s="4" t="s">
        <v>1940</v>
      </c>
      <c r="C148" s="4" t="s">
        <v>1941</v>
      </c>
      <c r="D148" s="4" t="s">
        <v>61</v>
      </c>
      <c r="E148" s="4" t="s">
        <v>1438</v>
      </c>
      <c r="F148" s="4" t="s">
        <v>1520</v>
      </c>
      <c r="G148" s="4" t="s">
        <v>1942</v>
      </c>
      <c r="H148" s="4" t="s">
        <v>61</v>
      </c>
      <c r="I148" s="4" t="s">
        <v>128</v>
      </c>
      <c r="J148" s="4" t="s">
        <v>1943</v>
      </c>
      <c r="K148" s="4" t="s">
        <v>85</v>
      </c>
      <c r="L148" s="5" t="s">
        <v>85</v>
      </c>
      <c r="M148" s="4" t="s">
        <v>1944</v>
      </c>
      <c r="N148" s="4" t="s">
        <v>85</v>
      </c>
      <c r="O148" s="4" t="s">
        <v>1945</v>
      </c>
      <c r="P148" s="4" t="s">
        <v>72</v>
      </c>
      <c r="Q148" s="4" t="s">
        <v>73</v>
      </c>
      <c r="R148" s="4" t="s">
        <v>74</v>
      </c>
      <c r="S148" s="4" t="s">
        <v>1946</v>
      </c>
      <c r="T148" s="4" t="s">
        <v>1947</v>
      </c>
      <c r="U148" s="4" t="s">
        <v>1948</v>
      </c>
      <c r="V148" s="4"/>
      <c r="W148" s="4" t="s">
        <v>61</v>
      </c>
      <c r="X148" s="4" t="s">
        <v>1469</v>
      </c>
      <c r="Y148" s="4" t="s">
        <v>390</v>
      </c>
    </row>
    <row r="149" customFormat="false" ht="79.85" hidden="false" customHeight="false" outlineLevel="0" collapsed="false">
      <c r="A149" s="4" t="s">
        <v>1949</v>
      </c>
      <c r="B149" s="4" t="s">
        <v>1950</v>
      </c>
      <c r="C149" s="4" t="s">
        <v>1951</v>
      </c>
      <c r="D149" s="4" t="s">
        <v>61</v>
      </c>
      <c r="E149" s="4" t="s">
        <v>1438</v>
      </c>
      <c r="F149" s="4" t="s">
        <v>1952</v>
      </c>
      <c r="G149" s="4" t="s">
        <v>1953</v>
      </c>
      <c r="H149" s="4" t="s">
        <v>61</v>
      </c>
      <c r="I149" s="4" t="s">
        <v>128</v>
      </c>
      <c r="J149" s="4" t="s">
        <v>1954</v>
      </c>
      <c r="K149" s="4" t="s">
        <v>1955</v>
      </c>
      <c r="L149" s="5" t="s">
        <v>85</v>
      </c>
      <c r="M149" s="4" t="s">
        <v>1956</v>
      </c>
      <c r="N149" s="4" t="s">
        <v>85</v>
      </c>
      <c r="O149" s="4" t="s">
        <v>1957</v>
      </c>
      <c r="P149" s="4" t="s">
        <v>72</v>
      </c>
      <c r="Q149" s="4" t="s">
        <v>73</v>
      </c>
      <c r="R149" s="4" t="s">
        <v>74</v>
      </c>
      <c r="S149" s="4" t="s">
        <v>1958</v>
      </c>
      <c r="T149" s="4" t="s">
        <v>1959</v>
      </c>
      <c r="U149" s="4" t="s">
        <v>1960</v>
      </c>
      <c r="V149" s="4"/>
      <c r="W149" s="4" t="s">
        <v>61</v>
      </c>
      <c r="X149" s="4" t="s">
        <v>376</v>
      </c>
      <c r="Y149" s="4" t="s">
        <v>390</v>
      </c>
    </row>
    <row r="150" customFormat="false" ht="102.2" hidden="false" customHeight="false" outlineLevel="0" collapsed="false">
      <c r="A150" s="4" t="s">
        <v>1961</v>
      </c>
      <c r="B150" s="4" t="s">
        <v>1962</v>
      </c>
      <c r="C150" s="4" t="s">
        <v>1963</v>
      </c>
      <c r="D150" s="4" t="s">
        <v>65</v>
      </c>
      <c r="E150" s="4" t="s">
        <v>1964</v>
      </c>
      <c r="F150" s="4" t="s">
        <v>1965</v>
      </c>
      <c r="G150" s="4" t="s">
        <v>1966</v>
      </c>
      <c r="H150" s="4" t="s">
        <v>61</v>
      </c>
      <c r="I150" s="4" t="s">
        <v>97</v>
      </c>
      <c r="J150" s="4" t="s">
        <v>1967</v>
      </c>
      <c r="K150" s="4" t="s">
        <v>1968</v>
      </c>
      <c r="L150" s="5" t="s">
        <v>85</v>
      </c>
      <c r="M150" s="4" t="s">
        <v>85</v>
      </c>
      <c r="N150" s="4" t="s">
        <v>1969</v>
      </c>
      <c r="O150" s="4" t="s">
        <v>1970</v>
      </c>
      <c r="P150" s="4" t="s">
        <v>103</v>
      </c>
      <c r="Q150" s="4" t="s">
        <v>74</v>
      </c>
      <c r="R150" s="4" t="s">
        <v>1971</v>
      </c>
      <c r="S150" s="4" t="s">
        <v>1972</v>
      </c>
      <c r="T150" s="4" t="s">
        <v>1973</v>
      </c>
      <c r="U150" s="4" t="s">
        <v>1974</v>
      </c>
      <c r="V150" s="4" t="s">
        <v>1975</v>
      </c>
      <c r="W150" s="4" t="s">
        <v>1976</v>
      </c>
      <c r="X150" s="4" t="s">
        <v>1036</v>
      </c>
      <c r="Y150" s="4" t="s">
        <v>649</v>
      </c>
    </row>
    <row r="151" customFormat="false" ht="102.2" hidden="false" customHeight="false" outlineLevel="0" collapsed="false">
      <c r="A151" s="4" t="s">
        <v>1977</v>
      </c>
      <c r="B151" s="4" t="s">
        <v>1978</v>
      </c>
      <c r="C151" s="4" t="s">
        <v>1979</v>
      </c>
      <c r="D151" s="4" t="s">
        <v>65</v>
      </c>
      <c r="E151" s="4" t="s">
        <v>1964</v>
      </c>
      <c r="F151" s="4" t="s">
        <v>1980</v>
      </c>
      <c r="G151" s="4" t="s">
        <v>1981</v>
      </c>
      <c r="H151" s="4" t="s">
        <v>61</v>
      </c>
      <c r="I151" s="4" t="s">
        <v>97</v>
      </c>
      <c r="J151" s="4" t="s">
        <v>1982</v>
      </c>
      <c r="K151" s="4" t="s">
        <v>1983</v>
      </c>
      <c r="L151" s="5" t="s">
        <v>85</v>
      </c>
      <c r="M151" s="4" t="s">
        <v>1984</v>
      </c>
      <c r="N151" s="4" t="s">
        <v>1985</v>
      </c>
      <c r="O151" s="4" t="s">
        <v>1986</v>
      </c>
      <c r="P151" s="4" t="s">
        <v>103</v>
      </c>
      <c r="Q151" s="4" t="s">
        <v>316</v>
      </c>
      <c r="R151" s="4" t="s">
        <v>1987</v>
      </c>
      <c r="S151" s="4" t="s">
        <v>1988</v>
      </c>
      <c r="T151" s="4" t="s">
        <v>1989</v>
      </c>
      <c r="U151" s="4" t="s">
        <v>1990</v>
      </c>
      <c r="V151" s="4"/>
      <c r="W151" s="4" t="s">
        <v>61</v>
      </c>
      <c r="X151" s="4" t="s">
        <v>1469</v>
      </c>
      <c r="Y151" s="4" t="s">
        <v>748</v>
      </c>
    </row>
    <row r="152" customFormat="false" ht="91" hidden="false" customHeight="false" outlineLevel="0" collapsed="false">
      <c r="A152" s="4" t="s">
        <v>1991</v>
      </c>
      <c r="B152" s="4" t="s">
        <v>1992</v>
      </c>
      <c r="C152" s="4" t="s">
        <v>1993</v>
      </c>
      <c r="D152" s="4" t="s">
        <v>65</v>
      </c>
      <c r="E152" s="4" t="s">
        <v>1964</v>
      </c>
      <c r="F152" s="4" t="s">
        <v>1994</v>
      </c>
      <c r="G152" s="4" t="s">
        <v>1995</v>
      </c>
      <c r="H152" s="4" t="s">
        <v>61</v>
      </c>
      <c r="I152" s="4" t="s">
        <v>97</v>
      </c>
      <c r="J152" s="4" t="s">
        <v>1996</v>
      </c>
      <c r="K152" s="4" t="s">
        <v>1997</v>
      </c>
      <c r="L152" s="5" t="s">
        <v>85</v>
      </c>
      <c r="M152" s="4" t="s">
        <v>1998</v>
      </c>
      <c r="N152" s="4" t="s">
        <v>1999</v>
      </c>
      <c r="O152" s="4" t="s">
        <v>2000</v>
      </c>
      <c r="P152" s="4" t="s">
        <v>103</v>
      </c>
      <c r="Q152" s="4" t="s">
        <v>74</v>
      </c>
      <c r="R152" s="4" t="s">
        <v>74</v>
      </c>
      <c r="S152" s="4" t="s">
        <v>2001</v>
      </c>
      <c r="T152" s="4" t="s">
        <v>2002</v>
      </c>
      <c r="U152" s="4" t="s">
        <v>2003</v>
      </c>
      <c r="V152" s="4" t="s">
        <v>2004</v>
      </c>
      <c r="W152" s="4" t="s">
        <v>2005</v>
      </c>
      <c r="X152" s="4" t="s">
        <v>376</v>
      </c>
      <c r="Y152" s="4" t="s">
        <v>748</v>
      </c>
    </row>
    <row r="153" customFormat="false" ht="57.45" hidden="false" customHeight="false" outlineLevel="0" collapsed="false">
      <c r="A153" s="4" t="s">
        <v>2006</v>
      </c>
      <c r="B153" s="4" t="s">
        <v>2007</v>
      </c>
      <c r="C153" s="4" t="s">
        <v>2008</v>
      </c>
      <c r="D153" s="4" t="s">
        <v>61</v>
      </c>
      <c r="E153" s="4" t="s">
        <v>1964</v>
      </c>
      <c r="F153" s="4" t="s">
        <v>2009</v>
      </c>
      <c r="G153" s="4" t="s">
        <v>2010</v>
      </c>
      <c r="H153" s="4" t="s">
        <v>61</v>
      </c>
      <c r="I153" s="4" t="s">
        <v>128</v>
      </c>
      <c r="J153" s="4" t="s">
        <v>2011</v>
      </c>
      <c r="K153" s="4" t="s">
        <v>85</v>
      </c>
      <c r="L153" s="5" t="s">
        <v>85</v>
      </c>
      <c r="M153" s="4" t="s">
        <v>85</v>
      </c>
      <c r="N153" s="4" t="s">
        <v>2012</v>
      </c>
      <c r="O153" s="4" t="s">
        <v>2013</v>
      </c>
      <c r="P153" s="4" t="s">
        <v>72</v>
      </c>
      <c r="Q153" s="4" t="s">
        <v>316</v>
      </c>
      <c r="R153" s="4" t="s">
        <v>74</v>
      </c>
      <c r="S153" s="4" t="s">
        <v>2014</v>
      </c>
      <c r="T153" s="4" t="s">
        <v>2015</v>
      </c>
      <c r="U153" s="4" t="s">
        <v>2016</v>
      </c>
      <c r="V153" s="4" t="s">
        <v>2017</v>
      </c>
      <c r="W153" s="4" t="s">
        <v>61</v>
      </c>
      <c r="X153" s="4" t="s">
        <v>376</v>
      </c>
      <c r="Y153" s="4" t="s">
        <v>748</v>
      </c>
    </row>
    <row r="154" customFormat="false" ht="91" hidden="false" customHeight="false" outlineLevel="0" collapsed="false">
      <c r="A154" s="4" t="s">
        <v>2018</v>
      </c>
      <c r="B154" s="4" t="s">
        <v>2019</v>
      </c>
      <c r="C154" s="4" t="s">
        <v>2020</v>
      </c>
      <c r="D154" s="4" t="s">
        <v>65</v>
      </c>
      <c r="E154" s="4" t="s">
        <v>1964</v>
      </c>
      <c r="F154" s="4" t="s">
        <v>2021</v>
      </c>
      <c r="G154" s="4" t="s">
        <v>2022</v>
      </c>
      <c r="H154" s="4" t="s">
        <v>65</v>
      </c>
      <c r="I154" s="4" t="s">
        <v>97</v>
      </c>
      <c r="J154" s="4" t="s">
        <v>2023</v>
      </c>
      <c r="K154" s="4" t="s">
        <v>2024</v>
      </c>
      <c r="L154" s="5" t="s">
        <v>85</v>
      </c>
      <c r="M154" s="4" t="s">
        <v>85</v>
      </c>
      <c r="N154" s="4" t="s">
        <v>2025</v>
      </c>
      <c r="O154" s="4" t="s">
        <v>2026</v>
      </c>
      <c r="P154" s="4" t="s">
        <v>103</v>
      </c>
      <c r="Q154" s="4" t="s">
        <v>74</v>
      </c>
      <c r="R154" s="4" t="s">
        <v>2027</v>
      </c>
      <c r="S154" s="4" t="s">
        <v>2028</v>
      </c>
      <c r="T154" s="4" t="s">
        <v>2029</v>
      </c>
      <c r="U154" s="4" t="s">
        <v>2030</v>
      </c>
      <c r="V154" s="4"/>
      <c r="W154" s="4" t="s">
        <v>2031</v>
      </c>
      <c r="X154" s="4" t="s">
        <v>376</v>
      </c>
      <c r="Y154" s="4" t="s">
        <v>748</v>
      </c>
    </row>
    <row r="155" customFormat="false" ht="91" hidden="false" customHeight="false" outlineLevel="0" collapsed="false">
      <c r="A155" s="4" t="s">
        <v>2032</v>
      </c>
      <c r="B155" s="4" t="s">
        <v>2033</v>
      </c>
      <c r="C155" s="4" t="s">
        <v>2034</v>
      </c>
      <c r="D155" s="4" t="s">
        <v>61</v>
      </c>
      <c r="E155" s="4" t="s">
        <v>2035</v>
      </c>
      <c r="F155" s="4" t="s">
        <v>2036</v>
      </c>
      <c r="G155" s="4" t="s">
        <v>64</v>
      </c>
      <c r="H155" s="4" t="s">
        <v>65</v>
      </c>
      <c r="I155" s="4" t="s">
        <v>128</v>
      </c>
      <c r="J155" s="4" t="s">
        <v>2037</v>
      </c>
      <c r="K155" s="4" t="s">
        <v>85</v>
      </c>
      <c r="L155" s="4" t="s">
        <v>69</v>
      </c>
      <c r="M155" s="4" t="s">
        <v>69</v>
      </c>
      <c r="N155" s="4" t="s">
        <v>69</v>
      </c>
      <c r="O155" s="4" t="s">
        <v>2038</v>
      </c>
      <c r="P155" s="4" t="s">
        <v>72</v>
      </c>
      <c r="Q155" s="4" t="s">
        <v>73</v>
      </c>
      <c r="R155" s="4" t="s">
        <v>74</v>
      </c>
      <c r="S155" s="4" t="s">
        <v>2039</v>
      </c>
      <c r="T155" s="4" t="s">
        <v>76</v>
      </c>
      <c r="U155" s="4" t="s">
        <v>69</v>
      </c>
      <c r="V155" s="4"/>
      <c r="W155" s="4" t="s">
        <v>69</v>
      </c>
      <c r="X155" s="4" t="s">
        <v>1447</v>
      </c>
      <c r="Y155" s="4" t="s">
        <v>78</v>
      </c>
    </row>
    <row r="156" customFormat="false" ht="46.25" hidden="false" customHeight="false" outlineLevel="0" collapsed="false">
      <c r="A156" s="4" t="s">
        <v>2040</v>
      </c>
      <c r="B156" s="4" t="s">
        <v>2041</v>
      </c>
      <c r="C156" s="4" t="s">
        <v>2042</v>
      </c>
      <c r="D156" s="4" t="s">
        <v>61</v>
      </c>
      <c r="E156" s="4" t="s">
        <v>2035</v>
      </c>
      <c r="F156" s="4" t="s">
        <v>2043</v>
      </c>
      <c r="G156" s="4" t="s">
        <v>127</v>
      </c>
      <c r="H156" s="4" t="s">
        <v>61</v>
      </c>
      <c r="I156" s="4" t="s">
        <v>128</v>
      </c>
      <c r="J156" s="4" t="s">
        <v>128</v>
      </c>
      <c r="K156" s="4" t="s">
        <v>85</v>
      </c>
      <c r="L156" s="5" t="s">
        <v>85</v>
      </c>
      <c r="M156" s="4" t="s">
        <v>85</v>
      </c>
      <c r="N156" s="4" t="s">
        <v>85</v>
      </c>
      <c r="O156" s="4" t="s">
        <v>2044</v>
      </c>
      <c r="P156" s="4" t="s">
        <v>72</v>
      </c>
      <c r="Q156" s="4" t="s">
        <v>73</v>
      </c>
      <c r="R156" s="4" t="s">
        <v>74</v>
      </c>
      <c r="S156" s="4" t="s">
        <v>2045</v>
      </c>
      <c r="T156" s="4" t="s">
        <v>2046</v>
      </c>
      <c r="U156" s="4" t="s">
        <v>2047</v>
      </c>
      <c r="V156" s="4"/>
      <c r="W156" s="4" t="s">
        <v>61</v>
      </c>
      <c r="X156" s="4" t="s">
        <v>1648</v>
      </c>
      <c r="Y156" s="4" t="s">
        <v>78</v>
      </c>
    </row>
    <row r="157" customFormat="false" ht="35.05" hidden="false" customHeight="false" outlineLevel="0" collapsed="false">
      <c r="A157" s="4" t="s">
        <v>2048</v>
      </c>
      <c r="B157" s="4" t="s">
        <v>2049</v>
      </c>
      <c r="C157" s="4" t="s">
        <v>2050</v>
      </c>
      <c r="D157" s="4" t="s">
        <v>61</v>
      </c>
      <c r="E157" s="4" t="s">
        <v>2035</v>
      </c>
      <c r="F157" s="4" t="s">
        <v>2051</v>
      </c>
      <c r="G157" s="4" t="s">
        <v>127</v>
      </c>
      <c r="H157" s="4" t="s">
        <v>61</v>
      </c>
      <c r="I157" s="4" t="s">
        <v>66</v>
      </c>
      <c r="J157" s="4" t="s">
        <v>2052</v>
      </c>
      <c r="K157" s="4" t="s">
        <v>85</v>
      </c>
      <c r="L157" s="5" t="s">
        <v>85</v>
      </c>
      <c r="M157" s="4" t="s">
        <v>85</v>
      </c>
      <c r="N157" s="4" t="s">
        <v>85</v>
      </c>
      <c r="O157" s="4" t="s">
        <v>2053</v>
      </c>
      <c r="P157" s="4" t="s">
        <v>72</v>
      </c>
      <c r="Q157" s="4" t="s">
        <v>73</v>
      </c>
      <c r="R157" s="4" t="s">
        <v>74</v>
      </c>
      <c r="S157" s="4" t="s">
        <v>2054</v>
      </c>
      <c r="T157" s="4" t="s">
        <v>144</v>
      </c>
      <c r="U157" s="4" t="s">
        <v>69</v>
      </c>
      <c r="V157" s="4"/>
      <c r="W157" s="4" t="s">
        <v>61</v>
      </c>
      <c r="X157" s="4" t="s">
        <v>213</v>
      </c>
      <c r="Y157" s="4" t="s">
        <v>78</v>
      </c>
    </row>
    <row r="158" customFormat="false" ht="35.05" hidden="false" customHeight="false" outlineLevel="0" collapsed="false">
      <c r="A158" s="4" t="s">
        <v>2055</v>
      </c>
      <c r="B158" s="4" t="s">
        <v>2056</v>
      </c>
      <c r="C158" s="4" t="s">
        <v>2057</v>
      </c>
      <c r="D158" s="4" t="s">
        <v>65</v>
      </c>
      <c r="E158" s="4" t="s">
        <v>2035</v>
      </c>
      <c r="F158" s="4" t="s">
        <v>2058</v>
      </c>
      <c r="G158" s="4" t="s">
        <v>2059</v>
      </c>
      <c r="H158" s="4" t="s">
        <v>65</v>
      </c>
      <c r="I158" s="4" t="s">
        <v>66</v>
      </c>
      <c r="J158" s="4" t="s">
        <v>2060</v>
      </c>
      <c r="K158" s="4" t="s">
        <v>85</v>
      </c>
      <c r="L158" s="5" t="s">
        <v>85</v>
      </c>
      <c r="M158" s="4" t="s">
        <v>2061</v>
      </c>
      <c r="N158" s="4" t="s">
        <v>85</v>
      </c>
      <c r="O158" s="4" t="s">
        <v>2062</v>
      </c>
      <c r="P158" s="4" t="s">
        <v>72</v>
      </c>
      <c r="Q158" s="4" t="s">
        <v>73</v>
      </c>
      <c r="R158" s="4" t="s">
        <v>74</v>
      </c>
      <c r="S158" s="4" t="s">
        <v>2063</v>
      </c>
      <c r="T158" s="4" t="s">
        <v>90</v>
      </c>
      <c r="U158" s="4" t="s">
        <v>69</v>
      </c>
      <c r="V158" s="4"/>
      <c r="W158" s="4" t="s">
        <v>69</v>
      </c>
      <c r="X158" s="4" t="s">
        <v>1166</v>
      </c>
      <c r="Y158" s="4" t="s">
        <v>78</v>
      </c>
    </row>
    <row r="159" customFormat="false" ht="35.05" hidden="false" customHeight="false" outlineLevel="0" collapsed="false">
      <c r="A159" s="4" t="s">
        <v>2064</v>
      </c>
      <c r="B159" s="4" t="s">
        <v>2065</v>
      </c>
      <c r="C159" s="4" t="s">
        <v>2066</v>
      </c>
      <c r="D159" s="4" t="s">
        <v>65</v>
      </c>
      <c r="E159" s="4" t="s">
        <v>2035</v>
      </c>
      <c r="F159" s="4" t="s">
        <v>2067</v>
      </c>
      <c r="G159" s="4" t="s">
        <v>2068</v>
      </c>
      <c r="H159" s="4" t="s">
        <v>65</v>
      </c>
      <c r="I159" s="4" t="s">
        <v>66</v>
      </c>
      <c r="J159" s="4" t="s">
        <v>66</v>
      </c>
      <c r="K159" s="4" t="s">
        <v>2069</v>
      </c>
      <c r="L159" s="5" t="s">
        <v>85</v>
      </c>
      <c r="M159" s="4" t="s">
        <v>85</v>
      </c>
      <c r="N159" s="4" t="s">
        <v>85</v>
      </c>
      <c r="O159" s="4" t="s">
        <v>2070</v>
      </c>
      <c r="P159" s="4" t="s">
        <v>72</v>
      </c>
      <c r="Q159" s="4" t="s">
        <v>73</v>
      </c>
      <c r="R159" s="4" t="s">
        <v>74</v>
      </c>
      <c r="S159" s="4" t="s">
        <v>2071</v>
      </c>
      <c r="T159" s="4" t="s">
        <v>144</v>
      </c>
      <c r="U159" s="4" t="s">
        <v>69</v>
      </c>
      <c r="V159" s="4"/>
      <c r="W159" s="4" t="s">
        <v>69</v>
      </c>
      <c r="X159" s="4" t="s">
        <v>2072</v>
      </c>
      <c r="Y159" s="4" t="s">
        <v>78</v>
      </c>
    </row>
    <row r="160" customFormat="false" ht="23.85" hidden="false" customHeight="false" outlineLevel="0" collapsed="false">
      <c r="A160" s="4" t="s">
        <v>2073</v>
      </c>
      <c r="B160" s="4" t="s">
        <v>2074</v>
      </c>
      <c r="C160" s="4" t="s">
        <v>2075</v>
      </c>
      <c r="D160" s="4" t="s">
        <v>65</v>
      </c>
      <c r="E160" s="4" t="s">
        <v>2035</v>
      </c>
      <c r="F160" s="4" t="s">
        <v>2076</v>
      </c>
      <c r="G160" s="4" t="s">
        <v>2059</v>
      </c>
      <c r="H160" s="4" t="s">
        <v>65</v>
      </c>
      <c r="I160" s="4" t="s">
        <v>66</v>
      </c>
      <c r="J160" s="4" t="s">
        <v>66</v>
      </c>
      <c r="K160" s="4" t="s">
        <v>85</v>
      </c>
      <c r="L160" s="5" t="s">
        <v>85</v>
      </c>
      <c r="M160" s="4" t="s">
        <v>85</v>
      </c>
      <c r="N160" s="4" t="s">
        <v>85</v>
      </c>
      <c r="O160" s="4" t="s">
        <v>2077</v>
      </c>
      <c r="P160" s="4" t="s">
        <v>72</v>
      </c>
      <c r="Q160" s="4" t="s">
        <v>73</v>
      </c>
      <c r="R160" s="4" t="s">
        <v>74</v>
      </c>
      <c r="S160" s="4" t="s">
        <v>2078</v>
      </c>
      <c r="T160" s="4" t="s">
        <v>144</v>
      </c>
      <c r="U160" s="4" t="s">
        <v>69</v>
      </c>
      <c r="V160" s="4"/>
      <c r="W160" s="4" t="s">
        <v>69</v>
      </c>
      <c r="X160" s="4" t="s">
        <v>1447</v>
      </c>
      <c r="Y160" s="4" t="s">
        <v>78</v>
      </c>
    </row>
    <row r="161" customFormat="false" ht="46.25" hidden="false" customHeight="false" outlineLevel="0" collapsed="false">
      <c r="A161" s="4" t="s">
        <v>2079</v>
      </c>
      <c r="B161" s="4" t="s">
        <v>2080</v>
      </c>
      <c r="C161" s="4" t="s">
        <v>2081</v>
      </c>
      <c r="D161" s="4" t="s">
        <v>65</v>
      </c>
      <c r="E161" s="4" t="s">
        <v>2035</v>
      </c>
      <c r="F161" s="4" t="s">
        <v>2082</v>
      </c>
      <c r="G161" s="4" t="s">
        <v>2083</v>
      </c>
      <c r="H161" s="4" t="s">
        <v>65</v>
      </c>
      <c r="I161" s="4" t="s">
        <v>66</v>
      </c>
      <c r="J161" s="4" t="s">
        <v>2084</v>
      </c>
      <c r="K161" s="4" t="s">
        <v>85</v>
      </c>
      <c r="L161" s="4" t="s">
        <v>69</v>
      </c>
      <c r="M161" s="4" t="s">
        <v>2085</v>
      </c>
      <c r="N161" s="4" t="s">
        <v>85</v>
      </c>
      <c r="O161" s="4" t="s">
        <v>2086</v>
      </c>
      <c r="P161" s="4" t="s">
        <v>72</v>
      </c>
      <c r="Q161" s="4" t="s">
        <v>73</v>
      </c>
      <c r="R161" s="4" t="s">
        <v>74</v>
      </c>
      <c r="S161" s="4" t="s">
        <v>2087</v>
      </c>
      <c r="T161" s="4" t="s">
        <v>2088</v>
      </c>
      <c r="U161" s="4" t="s">
        <v>69</v>
      </c>
      <c r="V161" s="4" t="s">
        <v>2089</v>
      </c>
      <c r="W161" s="4" t="s">
        <v>69</v>
      </c>
      <c r="X161" s="4" t="s">
        <v>1447</v>
      </c>
      <c r="Y161" s="4" t="s">
        <v>78</v>
      </c>
    </row>
    <row r="162" customFormat="false" ht="35.05" hidden="false" customHeight="false" outlineLevel="0" collapsed="false">
      <c r="A162" s="4" t="s">
        <v>2090</v>
      </c>
      <c r="B162" s="4" t="s">
        <v>2091</v>
      </c>
      <c r="C162" s="4" t="s">
        <v>2092</v>
      </c>
      <c r="D162" s="4" t="s">
        <v>65</v>
      </c>
      <c r="E162" s="4" t="s">
        <v>2035</v>
      </c>
      <c r="F162" s="4" t="s">
        <v>2093</v>
      </c>
      <c r="G162" s="4" t="s">
        <v>2059</v>
      </c>
      <c r="H162" s="4" t="s">
        <v>65</v>
      </c>
      <c r="I162" s="4" t="s">
        <v>66</v>
      </c>
      <c r="J162" s="4" t="s">
        <v>66</v>
      </c>
      <c r="K162" s="4" t="s">
        <v>2094</v>
      </c>
      <c r="L162" s="6" t="s">
        <v>221</v>
      </c>
      <c r="M162" s="4" t="s">
        <v>2095</v>
      </c>
      <c r="N162" s="4" t="s">
        <v>85</v>
      </c>
      <c r="O162" s="4" t="s">
        <v>2096</v>
      </c>
      <c r="P162" s="4" t="s">
        <v>72</v>
      </c>
      <c r="Q162" s="4" t="s">
        <v>73</v>
      </c>
      <c r="R162" s="4" t="s">
        <v>2097</v>
      </c>
      <c r="S162" s="4" t="s">
        <v>2098</v>
      </c>
      <c r="T162" s="4" t="s">
        <v>144</v>
      </c>
      <c r="U162" s="4" t="s">
        <v>69</v>
      </c>
      <c r="V162" s="4"/>
      <c r="W162" s="4" t="s">
        <v>69</v>
      </c>
      <c r="X162" s="4" t="s">
        <v>1447</v>
      </c>
      <c r="Y162" s="4" t="s">
        <v>78</v>
      </c>
    </row>
    <row r="163" customFormat="false" ht="57.45" hidden="false" customHeight="false" outlineLevel="0" collapsed="false">
      <c r="A163" s="4" t="s">
        <v>2099</v>
      </c>
      <c r="B163" s="4" t="s">
        <v>2100</v>
      </c>
      <c r="C163" s="4" t="s">
        <v>2101</v>
      </c>
      <c r="D163" s="4" t="s">
        <v>65</v>
      </c>
      <c r="E163" s="4" t="s">
        <v>2035</v>
      </c>
      <c r="F163" s="4" t="s">
        <v>2102</v>
      </c>
      <c r="G163" s="4" t="s">
        <v>2059</v>
      </c>
      <c r="H163" s="4" t="s">
        <v>65</v>
      </c>
      <c r="I163" s="4" t="s">
        <v>66</v>
      </c>
      <c r="J163" s="4" t="s">
        <v>66</v>
      </c>
      <c r="K163" s="4" t="s">
        <v>85</v>
      </c>
      <c r="L163" s="5" t="s">
        <v>85</v>
      </c>
      <c r="M163" s="4" t="s">
        <v>85</v>
      </c>
      <c r="N163" s="4" t="s">
        <v>2103</v>
      </c>
      <c r="O163" s="4" t="s">
        <v>2104</v>
      </c>
      <c r="P163" s="4" t="s">
        <v>72</v>
      </c>
      <c r="Q163" s="4" t="s">
        <v>73</v>
      </c>
      <c r="R163" s="4" t="s">
        <v>2105</v>
      </c>
      <c r="S163" s="4" t="s">
        <v>2106</v>
      </c>
      <c r="T163" s="4" t="s">
        <v>2107</v>
      </c>
      <c r="U163" s="4" t="s">
        <v>2108</v>
      </c>
      <c r="V163" s="4"/>
      <c r="W163" s="4" t="s">
        <v>69</v>
      </c>
      <c r="X163" s="4" t="s">
        <v>1447</v>
      </c>
      <c r="Y163" s="4" t="s">
        <v>78</v>
      </c>
    </row>
    <row r="164" customFormat="false" ht="124.6" hidden="false" customHeight="false" outlineLevel="0" collapsed="false">
      <c r="A164" s="4" t="s">
        <v>2109</v>
      </c>
      <c r="B164" s="4" t="s">
        <v>2110</v>
      </c>
      <c r="C164" s="4" t="s">
        <v>2111</v>
      </c>
      <c r="D164" s="4" t="s">
        <v>61</v>
      </c>
      <c r="E164" s="4" t="s">
        <v>2035</v>
      </c>
      <c r="F164" s="4" t="s">
        <v>2112</v>
      </c>
      <c r="G164" s="4" t="s">
        <v>2113</v>
      </c>
      <c r="H164" s="4" t="s">
        <v>65</v>
      </c>
      <c r="I164" s="4" t="s">
        <v>66</v>
      </c>
      <c r="J164" s="4" t="s">
        <v>2114</v>
      </c>
      <c r="K164" s="4" t="s">
        <v>2115</v>
      </c>
      <c r="L164" s="5" t="s">
        <v>85</v>
      </c>
      <c r="M164" s="4" t="s">
        <v>85</v>
      </c>
      <c r="N164" s="4" t="s">
        <v>85</v>
      </c>
      <c r="O164" s="4" t="s">
        <v>2116</v>
      </c>
      <c r="P164" s="4" t="s">
        <v>72</v>
      </c>
      <c r="Q164" s="4" t="s">
        <v>73</v>
      </c>
      <c r="R164" s="4" t="s">
        <v>74</v>
      </c>
      <c r="S164" s="4" t="s">
        <v>2117</v>
      </c>
      <c r="T164" s="4" t="s">
        <v>144</v>
      </c>
      <c r="U164" s="4" t="s">
        <v>69</v>
      </c>
      <c r="V164" s="4"/>
      <c r="W164" s="4" t="s">
        <v>69</v>
      </c>
      <c r="X164" s="4" t="s">
        <v>1036</v>
      </c>
      <c r="Y164" s="4" t="s">
        <v>78</v>
      </c>
    </row>
    <row r="165" customFormat="false" ht="23.85" hidden="false" customHeight="false" outlineLevel="0" collapsed="false">
      <c r="A165" s="4" t="s">
        <v>2118</v>
      </c>
      <c r="B165" s="4" t="s">
        <v>2119</v>
      </c>
      <c r="C165" s="4" t="s">
        <v>2120</v>
      </c>
      <c r="D165" s="4" t="s">
        <v>61</v>
      </c>
      <c r="E165" s="4" t="s">
        <v>2035</v>
      </c>
      <c r="F165" s="4" t="s">
        <v>2121</v>
      </c>
      <c r="G165" s="4" t="s">
        <v>2122</v>
      </c>
      <c r="H165" s="4" t="s">
        <v>61</v>
      </c>
      <c r="I165" s="4" t="s">
        <v>66</v>
      </c>
      <c r="J165" s="4" t="s">
        <v>2123</v>
      </c>
      <c r="K165" s="4" t="s">
        <v>85</v>
      </c>
      <c r="L165" s="5" t="s">
        <v>85</v>
      </c>
      <c r="M165" s="4" t="s">
        <v>85</v>
      </c>
      <c r="N165" s="4" t="s">
        <v>85</v>
      </c>
      <c r="O165" s="4" t="s">
        <v>2124</v>
      </c>
      <c r="P165" s="4" t="s">
        <v>72</v>
      </c>
      <c r="Q165" s="4" t="s">
        <v>73</v>
      </c>
      <c r="R165" s="4" t="s">
        <v>74</v>
      </c>
      <c r="S165" s="4" t="s">
        <v>2125</v>
      </c>
      <c r="T165" s="4" t="s">
        <v>144</v>
      </c>
      <c r="U165" s="4" t="s">
        <v>69</v>
      </c>
      <c r="V165" s="4"/>
      <c r="W165" s="4" t="s">
        <v>61</v>
      </c>
      <c r="X165" s="4" t="s">
        <v>1036</v>
      </c>
      <c r="Y165" s="4" t="s">
        <v>78</v>
      </c>
    </row>
    <row r="166" customFormat="false" ht="46.25" hidden="false" customHeight="false" outlineLevel="0" collapsed="false">
      <c r="A166" s="4" t="s">
        <v>2126</v>
      </c>
      <c r="B166" s="4" t="s">
        <v>2127</v>
      </c>
      <c r="C166" s="4" t="s">
        <v>2128</v>
      </c>
      <c r="D166" s="4" t="s">
        <v>65</v>
      </c>
      <c r="E166" s="4" t="s">
        <v>2035</v>
      </c>
      <c r="F166" s="4" t="s">
        <v>2129</v>
      </c>
      <c r="G166" s="4" t="s">
        <v>2130</v>
      </c>
      <c r="H166" s="4" t="s">
        <v>65</v>
      </c>
      <c r="I166" s="4" t="s">
        <v>66</v>
      </c>
      <c r="J166" s="4" t="s">
        <v>66</v>
      </c>
      <c r="K166" s="4" t="s">
        <v>85</v>
      </c>
      <c r="L166" s="5" t="s">
        <v>85</v>
      </c>
      <c r="M166" s="4" t="s">
        <v>85</v>
      </c>
      <c r="N166" s="4" t="s">
        <v>85</v>
      </c>
      <c r="O166" s="4" t="s">
        <v>2131</v>
      </c>
      <c r="P166" s="4" t="s">
        <v>72</v>
      </c>
      <c r="Q166" s="4" t="s">
        <v>73</v>
      </c>
      <c r="R166" s="4" t="s">
        <v>74</v>
      </c>
      <c r="S166" s="4" t="s">
        <v>2071</v>
      </c>
      <c r="T166" s="4" t="s">
        <v>144</v>
      </c>
      <c r="U166" s="4" t="s">
        <v>69</v>
      </c>
      <c r="V166" s="4"/>
      <c r="W166" s="4" t="s">
        <v>69</v>
      </c>
      <c r="X166" s="4" t="s">
        <v>1447</v>
      </c>
      <c r="Y166" s="4" t="s">
        <v>78</v>
      </c>
    </row>
    <row r="167" customFormat="false" ht="46.25" hidden="false" customHeight="false" outlineLevel="0" collapsed="false">
      <c r="A167" s="4" t="s">
        <v>2132</v>
      </c>
      <c r="B167" s="4" t="s">
        <v>2133</v>
      </c>
      <c r="C167" s="4" t="s">
        <v>2134</v>
      </c>
      <c r="D167" s="4" t="s">
        <v>65</v>
      </c>
      <c r="E167" s="4" t="s">
        <v>2035</v>
      </c>
      <c r="F167" s="4" t="s">
        <v>2135</v>
      </c>
      <c r="G167" s="4" t="s">
        <v>2136</v>
      </c>
      <c r="H167" s="4" t="s">
        <v>61</v>
      </c>
      <c r="I167" s="4" t="s">
        <v>66</v>
      </c>
      <c r="J167" s="4" t="s">
        <v>2137</v>
      </c>
      <c r="K167" s="4" t="s">
        <v>85</v>
      </c>
      <c r="L167" s="5" t="s">
        <v>85</v>
      </c>
      <c r="M167" s="4" t="s">
        <v>85</v>
      </c>
      <c r="N167" s="4" t="s">
        <v>85</v>
      </c>
      <c r="O167" s="4" t="s">
        <v>2138</v>
      </c>
      <c r="P167" s="4" t="s">
        <v>72</v>
      </c>
      <c r="Q167" s="4" t="s">
        <v>73</v>
      </c>
      <c r="R167" s="4" t="s">
        <v>74</v>
      </c>
      <c r="S167" s="4" t="s">
        <v>2071</v>
      </c>
      <c r="T167" s="4" t="s">
        <v>144</v>
      </c>
      <c r="U167" s="4" t="s">
        <v>69</v>
      </c>
      <c r="V167" s="4"/>
      <c r="W167" s="4" t="s">
        <v>2139</v>
      </c>
      <c r="X167" s="4" t="s">
        <v>1447</v>
      </c>
      <c r="Y167" s="4" t="s">
        <v>78</v>
      </c>
    </row>
    <row r="168" customFormat="false" ht="35.05" hidden="false" customHeight="false" outlineLevel="0" collapsed="false">
      <c r="A168" s="4" t="s">
        <v>2140</v>
      </c>
      <c r="B168" s="4" t="s">
        <v>2141</v>
      </c>
      <c r="C168" s="4" t="s">
        <v>2142</v>
      </c>
      <c r="D168" s="4" t="s">
        <v>65</v>
      </c>
      <c r="E168" s="4" t="s">
        <v>2035</v>
      </c>
      <c r="F168" s="4" t="s">
        <v>2143</v>
      </c>
      <c r="G168" s="4" t="s">
        <v>2144</v>
      </c>
      <c r="H168" s="4" t="s">
        <v>65</v>
      </c>
      <c r="I168" s="4" t="s">
        <v>66</v>
      </c>
      <c r="J168" s="4" t="s">
        <v>66</v>
      </c>
      <c r="K168" s="4" t="s">
        <v>85</v>
      </c>
      <c r="L168" s="5" t="s">
        <v>85</v>
      </c>
      <c r="M168" s="4" t="s">
        <v>85</v>
      </c>
      <c r="N168" s="4" t="s">
        <v>85</v>
      </c>
      <c r="O168" s="4" t="s">
        <v>2145</v>
      </c>
      <c r="P168" s="4" t="s">
        <v>72</v>
      </c>
      <c r="Q168" s="4" t="s">
        <v>73</v>
      </c>
      <c r="R168" s="4" t="s">
        <v>74</v>
      </c>
      <c r="S168" s="4" t="s">
        <v>2071</v>
      </c>
      <c r="T168" s="4" t="s">
        <v>144</v>
      </c>
      <c r="U168" s="4" t="s">
        <v>69</v>
      </c>
      <c r="V168" s="4"/>
      <c r="W168" s="4" t="s">
        <v>69</v>
      </c>
      <c r="X168" s="4" t="s">
        <v>1447</v>
      </c>
      <c r="Y168" s="4" t="s">
        <v>78</v>
      </c>
    </row>
    <row r="169" customFormat="false" ht="35.05" hidden="false" customHeight="false" outlineLevel="0" collapsed="false">
      <c r="A169" s="4" t="s">
        <v>2146</v>
      </c>
      <c r="B169" s="4" t="s">
        <v>2147</v>
      </c>
      <c r="C169" s="4" t="s">
        <v>2148</v>
      </c>
      <c r="D169" s="4" t="s">
        <v>61</v>
      </c>
      <c r="E169" s="4" t="s">
        <v>2035</v>
      </c>
      <c r="F169" s="4" t="s">
        <v>2149</v>
      </c>
      <c r="G169" s="4" t="s">
        <v>2150</v>
      </c>
      <c r="H169" s="4" t="s">
        <v>65</v>
      </c>
      <c r="I169" s="4" t="s">
        <v>66</v>
      </c>
      <c r="J169" s="4" t="s">
        <v>2151</v>
      </c>
      <c r="K169" s="4" t="s">
        <v>85</v>
      </c>
      <c r="L169" s="5" t="s">
        <v>85</v>
      </c>
      <c r="M169" s="4" t="s">
        <v>85</v>
      </c>
      <c r="N169" s="4" t="s">
        <v>85</v>
      </c>
      <c r="O169" s="4" t="s">
        <v>301</v>
      </c>
      <c r="P169" s="4" t="s">
        <v>72</v>
      </c>
      <c r="Q169" s="4" t="s">
        <v>73</v>
      </c>
      <c r="R169" s="4" t="s">
        <v>74</v>
      </c>
      <c r="S169" s="4" t="s">
        <v>2152</v>
      </c>
      <c r="T169" s="4" t="s">
        <v>144</v>
      </c>
      <c r="U169" s="4" t="s">
        <v>2153</v>
      </c>
      <c r="V169" s="4"/>
      <c r="W169" s="4" t="s">
        <v>69</v>
      </c>
      <c r="X169" s="4" t="s">
        <v>1447</v>
      </c>
      <c r="Y169" s="4" t="s">
        <v>78</v>
      </c>
    </row>
    <row r="170" customFormat="false" ht="169.4" hidden="false" customHeight="false" outlineLevel="0" collapsed="false">
      <c r="A170" s="4" t="s">
        <v>2154</v>
      </c>
      <c r="B170" s="4" t="s">
        <v>2155</v>
      </c>
      <c r="C170" s="4" t="s">
        <v>2156</v>
      </c>
      <c r="D170" s="4" t="s">
        <v>65</v>
      </c>
      <c r="E170" s="4" t="s">
        <v>2035</v>
      </c>
      <c r="F170" s="4" t="s">
        <v>2157</v>
      </c>
      <c r="G170" s="4" t="s">
        <v>2059</v>
      </c>
      <c r="H170" s="4" t="s">
        <v>61</v>
      </c>
      <c r="I170" s="4" t="s">
        <v>66</v>
      </c>
      <c r="J170" s="4" t="s">
        <v>2158</v>
      </c>
      <c r="K170" s="4" t="s">
        <v>85</v>
      </c>
      <c r="L170" s="4" t="s">
        <v>69</v>
      </c>
      <c r="M170" s="4" t="s">
        <v>2159</v>
      </c>
      <c r="N170" s="4" t="s">
        <v>85</v>
      </c>
      <c r="O170" s="4" t="s">
        <v>2160</v>
      </c>
      <c r="P170" s="4" t="s">
        <v>72</v>
      </c>
      <c r="Q170" s="4" t="s">
        <v>73</v>
      </c>
      <c r="R170" s="4" t="s">
        <v>74</v>
      </c>
      <c r="S170" s="4" t="s">
        <v>2161</v>
      </c>
      <c r="T170" s="4" t="s">
        <v>144</v>
      </c>
      <c r="U170" s="4" t="s">
        <v>2162</v>
      </c>
      <c r="V170" s="4" t="s">
        <v>2163</v>
      </c>
      <c r="W170" s="4" t="s">
        <v>61</v>
      </c>
      <c r="X170" s="4" t="s">
        <v>2164</v>
      </c>
      <c r="Y170" s="4" t="s">
        <v>78</v>
      </c>
    </row>
    <row r="171" customFormat="false" ht="23.85" hidden="false" customHeight="false" outlineLevel="0" collapsed="false">
      <c r="A171" s="4" t="s">
        <v>2165</v>
      </c>
      <c r="B171" s="4" t="s">
        <v>2166</v>
      </c>
      <c r="C171" s="4" t="s">
        <v>2167</v>
      </c>
      <c r="D171" s="4" t="s">
        <v>61</v>
      </c>
      <c r="E171" s="4" t="s">
        <v>2035</v>
      </c>
      <c r="F171" s="4" t="s">
        <v>2168</v>
      </c>
      <c r="G171" s="4" t="s">
        <v>2169</v>
      </c>
      <c r="H171" s="4" t="s">
        <v>61</v>
      </c>
      <c r="I171" s="4" t="s">
        <v>66</v>
      </c>
      <c r="J171" s="4" t="s">
        <v>2170</v>
      </c>
      <c r="K171" s="4" t="s">
        <v>2171</v>
      </c>
      <c r="L171" s="5" t="s">
        <v>85</v>
      </c>
      <c r="M171" s="4" t="s">
        <v>85</v>
      </c>
      <c r="N171" s="4" t="s">
        <v>85</v>
      </c>
      <c r="O171" s="4" t="s">
        <v>301</v>
      </c>
      <c r="P171" s="4" t="s">
        <v>72</v>
      </c>
      <c r="Q171" s="4" t="s">
        <v>73</v>
      </c>
      <c r="R171" s="4" t="s">
        <v>74</v>
      </c>
      <c r="S171" s="4" t="s">
        <v>2172</v>
      </c>
      <c r="T171" s="4" t="s">
        <v>2173</v>
      </c>
      <c r="U171" s="4" t="s">
        <v>69</v>
      </c>
      <c r="V171" s="4" t="s">
        <v>2174</v>
      </c>
      <c r="W171" s="4" t="s">
        <v>61</v>
      </c>
      <c r="X171" s="4" t="s">
        <v>2164</v>
      </c>
      <c r="Y171" s="4" t="s">
        <v>78</v>
      </c>
    </row>
    <row r="172" customFormat="false" ht="57.45" hidden="false" customHeight="false" outlineLevel="0" collapsed="false">
      <c r="A172" s="4" t="s">
        <v>2175</v>
      </c>
      <c r="B172" s="4" t="s">
        <v>2176</v>
      </c>
      <c r="C172" s="4" t="s">
        <v>2177</v>
      </c>
      <c r="D172" s="4" t="s">
        <v>65</v>
      </c>
      <c r="E172" s="4" t="s">
        <v>2035</v>
      </c>
      <c r="F172" s="4" t="s">
        <v>2178</v>
      </c>
      <c r="G172" s="4" t="s">
        <v>2179</v>
      </c>
      <c r="H172" s="4" t="s">
        <v>65</v>
      </c>
      <c r="I172" s="4" t="s">
        <v>97</v>
      </c>
      <c r="J172" s="4" t="s">
        <v>2180</v>
      </c>
      <c r="K172" s="4" t="s">
        <v>2181</v>
      </c>
      <c r="L172" s="6" t="s">
        <v>221</v>
      </c>
      <c r="M172" s="4" t="s">
        <v>2182</v>
      </c>
      <c r="N172" s="4" t="s">
        <v>85</v>
      </c>
      <c r="O172" s="4" t="s">
        <v>2183</v>
      </c>
      <c r="P172" s="4" t="s">
        <v>72</v>
      </c>
      <c r="Q172" s="4" t="s">
        <v>316</v>
      </c>
      <c r="R172" s="4" t="s">
        <v>74</v>
      </c>
      <c r="S172" s="4" t="s">
        <v>2184</v>
      </c>
      <c r="T172" s="4" t="s">
        <v>2185</v>
      </c>
      <c r="U172" s="4" t="s">
        <v>2186</v>
      </c>
      <c r="V172" s="4" t="s">
        <v>2187</v>
      </c>
      <c r="W172" s="4" t="s">
        <v>349</v>
      </c>
      <c r="X172" s="4" t="s">
        <v>2164</v>
      </c>
      <c r="Y172" s="4" t="s">
        <v>78</v>
      </c>
    </row>
    <row r="173" customFormat="false" ht="102.2" hidden="false" customHeight="false" outlineLevel="0" collapsed="false">
      <c r="A173" s="4" t="s">
        <v>2188</v>
      </c>
      <c r="B173" s="4" t="s">
        <v>2189</v>
      </c>
      <c r="C173" s="4" t="s">
        <v>2190</v>
      </c>
      <c r="D173" s="4" t="s">
        <v>61</v>
      </c>
      <c r="E173" s="4" t="s">
        <v>2035</v>
      </c>
      <c r="F173" s="4" t="s">
        <v>2191</v>
      </c>
      <c r="G173" s="4" t="s">
        <v>2192</v>
      </c>
      <c r="H173" s="4" t="s">
        <v>61</v>
      </c>
      <c r="I173" s="4" t="s">
        <v>66</v>
      </c>
      <c r="J173" s="4" t="s">
        <v>2193</v>
      </c>
      <c r="K173" s="4" t="s">
        <v>2194</v>
      </c>
      <c r="L173" s="5" t="s">
        <v>85</v>
      </c>
      <c r="M173" s="4" t="s">
        <v>85</v>
      </c>
      <c r="N173" s="4" t="s">
        <v>85</v>
      </c>
      <c r="O173" s="4" t="s">
        <v>301</v>
      </c>
      <c r="P173" s="4" t="s">
        <v>72</v>
      </c>
      <c r="Q173" s="4" t="s">
        <v>73</v>
      </c>
      <c r="R173" s="4" t="s">
        <v>2195</v>
      </c>
      <c r="S173" s="4" t="s">
        <v>2196</v>
      </c>
      <c r="T173" s="4" t="s">
        <v>144</v>
      </c>
      <c r="U173" s="4" t="s">
        <v>2197</v>
      </c>
      <c r="V173" s="4"/>
      <c r="W173" s="4" t="s">
        <v>61</v>
      </c>
      <c r="X173" s="4" t="s">
        <v>2164</v>
      </c>
      <c r="Y173" s="4" t="s">
        <v>78</v>
      </c>
    </row>
    <row r="174" customFormat="false" ht="23.85" hidden="false" customHeight="false" outlineLevel="0" collapsed="false">
      <c r="A174" s="4" t="s">
        <v>2198</v>
      </c>
      <c r="B174" s="4" t="s">
        <v>2199</v>
      </c>
      <c r="C174" s="4" t="s">
        <v>2200</v>
      </c>
      <c r="D174" s="4" t="s">
        <v>61</v>
      </c>
      <c r="E174" s="4" t="s">
        <v>2035</v>
      </c>
      <c r="F174" s="4" t="s">
        <v>2201</v>
      </c>
      <c r="G174" s="4" t="s">
        <v>2202</v>
      </c>
      <c r="H174" s="4" t="s">
        <v>61</v>
      </c>
      <c r="I174" s="4" t="s">
        <v>66</v>
      </c>
      <c r="J174" s="4" t="s">
        <v>66</v>
      </c>
      <c r="K174" s="4" t="s">
        <v>2203</v>
      </c>
      <c r="L174" s="5" t="s">
        <v>85</v>
      </c>
      <c r="M174" s="4" t="s">
        <v>85</v>
      </c>
      <c r="N174" s="4" t="s">
        <v>85</v>
      </c>
      <c r="O174" s="4" t="s">
        <v>301</v>
      </c>
      <c r="P174" s="4" t="s">
        <v>72</v>
      </c>
      <c r="Q174" s="4" t="s">
        <v>73</v>
      </c>
      <c r="R174" s="4" t="s">
        <v>74</v>
      </c>
      <c r="S174" s="4" t="s">
        <v>2204</v>
      </c>
      <c r="T174" s="4" t="s">
        <v>144</v>
      </c>
      <c r="U174" s="4" t="s">
        <v>2205</v>
      </c>
      <c r="V174" s="4"/>
      <c r="W174" s="4" t="s">
        <v>61</v>
      </c>
      <c r="X174" s="4" t="s">
        <v>2164</v>
      </c>
      <c r="Y174" s="4" t="s">
        <v>78</v>
      </c>
    </row>
    <row r="175" customFormat="false" ht="102.2" hidden="false" customHeight="false" outlineLevel="0" collapsed="false">
      <c r="A175" s="4" t="s">
        <v>2206</v>
      </c>
      <c r="B175" s="4" t="s">
        <v>2207</v>
      </c>
      <c r="C175" s="4" t="s">
        <v>2208</v>
      </c>
      <c r="D175" s="4" t="s">
        <v>61</v>
      </c>
      <c r="E175" s="4" t="s">
        <v>2035</v>
      </c>
      <c r="F175" s="4" t="s">
        <v>2209</v>
      </c>
      <c r="G175" s="4" t="s">
        <v>2210</v>
      </c>
      <c r="H175" s="4" t="s">
        <v>61</v>
      </c>
      <c r="I175" s="4" t="s">
        <v>97</v>
      </c>
      <c r="J175" s="4" t="s">
        <v>2211</v>
      </c>
      <c r="K175" s="4" t="s">
        <v>2212</v>
      </c>
      <c r="L175" s="5" t="s">
        <v>85</v>
      </c>
      <c r="M175" s="4" t="s">
        <v>2213</v>
      </c>
      <c r="N175" s="4" t="s">
        <v>85</v>
      </c>
      <c r="O175" s="4" t="s">
        <v>2214</v>
      </c>
      <c r="P175" s="4" t="s">
        <v>72</v>
      </c>
      <c r="Q175" s="4" t="s">
        <v>73</v>
      </c>
      <c r="R175" s="4" t="s">
        <v>74</v>
      </c>
      <c r="S175" s="4" t="s">
        <v>2215</v>
      </c>
      <c r="T175" s="4" t="s">
        <v>2216</v>
      </c>
      <c r="U175" s="4" t="s">
        <v>2217</v>
      </c>
      <c r="V175" s="4" t="s">
        <v>2218</v>
      </c>
      <c r="W175" s="4" t="s">
        <v>61</v>
      </c>
      <c r="X175" s="4" t="s">
        <v>2164</v>
      </c>
      <c r="Y175" s="4" t="s">
        <v>78</v>
      </c>
    </row>
    <row r="176" customFormat="false" ht="57.45" hidden="false" customHeight="false" outlineLevel="0" collapsed="false">
      <c r="A176" s="4" t="s">
        <v>2219</v>
      </c>
      <c r="B176" s="4" t="s">
        <v>2220</v>
      </c>
      <c r="C176" s="4" t="s">
        <v>2221</v>
      </c>
      <c r="D176" s="4" t="s">
        <v>65</v>
      </c>
      <c r="E176" s="4" t="s">
        <v>2035</v>
      </c>
      <c r="F176" s="4" t="s">
        <v>2222</v>
      </c>
      <c r="G176" s="4" t="s">
        <v>2059</v>
      </c>
      <c r="H176" s="4" t="s">
        <v>65</v>
      </c>
      <c r="I176" s="4" t="s">
        <v>66</v>
      </c>
      <c r="J176" s="4" t="s">
        <v>626</v>
      </c>
      <c r="K176" s="4" t="s">
        <v>85</v>
      </c>
      <c r="L176" s="4" t="s">
        <v>69</v>
      </c>
      <c r="M176" s="4" t="s">
        <v>69</v>
      </c>
      <c r="N176" s="4" t="s">
        <v>85</v>
      </c>
      <c r="O176" s="4" t="s">
        <v>2223</v>
      </c>
      <c r="P176" s="4" t="s">
        <v>72</v>
      </c>
      <c r="Q176" s="4" t="s">
        <v>73</v>
      </c>
      <c r="R176" s="4" t="s">
        <v>74</v>
      </c>
      <c r="S176" s="4" t="s">
        <v>2224</v>
      </c>
      <c r="T176" s="4" t="s">
        <v>144</v>
      </c>
      <c r="U176" s="4" t="s">
        <v>69</v>
      </c>
      <c r="V176" s="4"/>
      <c r="W176" s="4" t="s">
        <v>69</v>
      </c>
      <c r="X176" s="4" t="s">
        <v>2164</v>
      </c>
      <c r="Y176" s="4" t="s">
        <v>78</v>
      </c>
    </row>
    <row r="177" customFormat="false" ht="102.2" hidden="false" customHeight="false" outlineLevel="0" collapsed="false">
      <c r="A177" s="4" t="s">
        <v>2225</v>
      </c>
      <c r="B177" s="4" t="s">
        <v>2226</v>
      </c>
      <c r="C177" s="4" t="s">
        <v>2227</v>
      </c>
      <c r="D177" s="4" t="s">
        <v>61</v>
      </c>
      <c r="E177" s="4" t="s">
        <v>2035</v>
      </c>
      <c r="F177" s="4" t="s">
        <v>2228</v>
      </c>
      <c r="G177" s="4" t="s">
        <v>127</v>
      </c>
      <c r="H177" s="4" t="s">
        <v>61</v>
      </c>
      <c r="I177" s="4" t="s">
        <v>128</v>
      </c>
      <c r="J177" s="4" t="s">
        <v>2229</v>
      </c>
      <c r="K177" s="4" t="s">
        <v>85</v>
      </c>
      <c r="L177" s="5" t="s">
        <v>85</v>
      </c>
      <c r="M177" s="4" t="s">
        <v>2230</v>
      </c>
      <c r="N177" s="4" t="s">
        <v>2231</v>
      </c>
      <c r="O177" s="4" t="s">
        <v>2232</v>
      </c>
      <c r="P177" s="4" t="s">
        <v>72</v>
      </c>
      <c r="Q177" s="4" t="s">
        <v>73</v>
      </c>
      <c r="R177" s="4" t="s">
        <v>74</v>
      </c>
      <c r="S177" s="4" t="s">
        <v>2233</v>
      </c>
      <c r="T177" s="4" t="s">
        <v>2234</v>
      </c>
      <c r="U177" s="4" t="s">
        <v>2235</v>
      </c>
      <c r="V177" s="4"/>
      <c r="W177" s="4" t="s">
        <v>61</v>
      </c>
      <c r="X177" s="4" t="s">
        <v>213</v>
      </c>
      <c r="Y177" s="4" t="s">
        <v>78</v>
      </c>
    </row>
    <row r="178" customFormat="false" ht="23.85" hidden="false" customHeight="false" outlineLevel="0" collapsed="false">
      <c r="A178" s="4" t="s">
        <v>2236</v>
      </c>
      <c r="B178" s="4" t="s">
        <v>2237</v>
      </c>
      <c r="C178" s="4" t="s">
        <v>2238</v>
      </c>
      <c r="D178" s="4" t="s">
        <v>61</v>
      </c>
      <c r="E178" s="4" t="s">
        <v>2035</v>
      </c>
      <c r="F178" s="4" t="s">
        <v>2239</v>
      </c>
      <c r="G178" s="4" t="s">
        <v>2240</v>
      </c>
      <c r="H178" s="4" t="s">
        <v>61</v>
      </c>
      <c r="I178" s="4" t="s">
        <v>66</v>
      </c>
      <c r="J178" s="4" t="s">
        <v>2241</v>
      </c>
      <c r="K178" s="4" t="s">
        <v>85</v>
      </c>
      <c r="L178" s="5" t="s">
        <v>85</v>
      </c>
      <c r="M178" s="4" t="s">
        <v>85</v>
      </c>
      <c r="N178" s="4" t="s">
        <v>2242</v>
      </c>
      <c r="O178" s="4" t="s">
        <v>2243</v>
      </c>
      <c r="P178" s="4" t="s">
        <v>72</v>
      </c>
      <c r="Q178" s="4" t="s">
        <v>73</v>
      </c>
      <c r="R178" s="4" t="s">
        <v>74</v>
      </c>
      <c r="S178" s="4" t="s">
        <v>2244</v>
      </c>
      <c r="T178" s="4" t="s">
        <v>144</v>
      </c>
      <c r="U178" s="4" t="s">
        <v>69</v>
      </c>
      <c r="V178" s="4"/>
      <c r="W178" s="4" t="s">
        <v>61</v>
      </c>
      <c r="X178" s="4" t="s">
        <v>213</v>
      </c>
      <c r="Y178" s="4" t="s">
        <v>78</v>
      </c>
    </row>
    <row r="179" customFormat="false" ht="35.05" hidden="false" customHeight="false" outlineLevel="0" collapsed="false">
      <c r="A179" s="4" t="s">
        <v>2245</v>
      </c>
      <c r="B179" s="4" t="s">
        <v>2246</v>
      </c>
      <c r="C179" s="4" t="s">
        <v>2247</v>
      </c>
      <c r="D179" s="4" t="s">
        <v>61</v>
      </c>
      <c r="E179" s="4" t="s">
        <v>2035</v>
      </c>
      <c r="F179" s="4" t="s">
        <v>2248</v>
      </c>
      <c r="G179" s="4" t="s">
        <v>2249</v>
      </c>
      <c r="H179" s="4" t="s">
        <v>61</v>
      </c>
      <c r="I179" s="4" t="s">
        <v>66</v>
      </c>
      <c r="J179" s="4" t="s">
        <v>2250</v>
      </c>
      <c r="K179" s="4" t="s">
        <v>2251</v>
      </c>
      <c r="L179" s="5" t="s">
        <v>85</v>
      </c>
      <c r="M179" s="4" t="s">
        <v>2252</v>
      </c>
      <c r="N179" s="4" t="s">
        <v>2253</v>
      </c>
      <c r="O179" s="4" t="s">
        <v>2254</v>
      </c>
      <c r="P179" s="4" t="s">
        <v>72</v>
      </c>
      <c r="Q179" s="4" t="s">
        <v>73</v>
      </c>
      <c r="R179" s="4" t="s">
        <v>74</v>
      </c>
      <c r="S179" s="4" t="s">
        <v>2255</v>
      </c>
      <c r="T179" s="4" t="s">
        <v>2256</v>
      </c>
      <c r="U179" s="4" t="s">
        <v>2257</v>
      </c>
      <c r="V179" s="4"/>
      <c r="W179" s="4" t="s">
        <v>2258</v>
      </c>
      <c r="X179" s="4" t="s">
        <v>1036</v>
      </c>
      <c r="Y179" s="4" t="s">
        <v>78</v>
      </c>
    </row>
    <row r="180" customFormat="false" ht="113.4" hidden="false" customHeight="false" outlineLevel="0" collapsed="false">
      <c r="A180" s="4" t="s">
        <v>2259</v>
      </c>
      <c r="B180" s="4" t="s">
        <v>2260</v>
      </c>
      <c r="C180" s="4" t="s">
        <v>2261</v>
      </c>
      <c r="D180" s="4" t="s">
        <v>61</v>
      </c>
      <c r="E180" s="4" t="s">
        <v>2035</v>
      </c>
      <c r="F180" s="4" t="s">
        <v>2262</v>
      </c>
      <c r="G180" s="4" t="s">
        <v>2263</v>
      </c>
      <c r="H180" s="4" t="s">
        <v>61</v>
      </c>
      <c r="I180" s="4" t="s">
        <v>66</v>
      </c>
      <c r="J180" s="4" t="s">
        <v>2264</v>
      </c>
      <c r="K180" s="4" t="s">
        <v>85</v>
      </c>
      <c r="L180" s="5" t="s">
        <v>85</v>
      </c>
      <c r="M180" s="4" t="s">
        <v>2265</v>
      </c>
      <c r="N180" s="4" t="s">
        <v>85</v>
      </c>
      <c r="O180" s="4" t="s">
        <v>2266</v>
      </c>
      <c r="P180" s="4" t="s">
        <v>72</v>
      </c>
      <c r="Q180" s="4" t="s">
        <v>73</v>
      </c>
      <c r="R180" s="4" t="s">
        <v>74</v>
      </c>
      <c r="S180" s="4" t="s">
        <v>2267</v>
      </c>
      <c r="T180" s="4" t="s">
        <v>144</v>
      </c>
      <c r="U180" s="4" t="s">
        <v>2268</v>
      </c>
      <c r="V180" s="4"/>
      <c r="W180" s="4" t="s">
        <v>61</v>
      </c>
      <c r="X180" s="4" t="s">
        <v>2072</v>
      </c>
      <c r="Y180" s="4" t="s">
        <v>78</v>
      </c>
    </row>
    <row r="181" customFormat="false" ht="46.25" hidden="false" customHeight="false" outlineLevel="0" collapsed="false">
      <c r="A181" s="4" t="s">
        <v>2269</v>
      </c>
      <c r="B181" s="4" t="s">
        <v>2270</v>
      </c>
      <c r="C181" s="4" t="s">
        <v>2271</v>
      </c>
      <c r="D181" s="4" t="s">
        <v>65</v>
      </c>
      <c r="E181" s="4" t="s">
        <v>2035</v>
      </c>
      <c r="F181" s="4" t="s">
        <v>2272</v>
      </c>
      <c r="G181" s="4" t="s">
        <v>2273</v>
      </c>
      <c r="H181" s="4" t="s">
        <v>61</v>
      </c>
      <c r="I181" s="4" t="s">
        <v>66</v>
      </c>
      <c r="J181" s="4" t="s">
        <v>2274</v>
      </c>
      <c r="K181" s="4" t="s">
        <v>85</v>
      </c>
      <c r="L181" s="6" t="s">
        <v>221</v>
      </c>
      <c r="M181" s="4" t="s">
        <v>2275</v>
      </c>
      <c r="N181" s="4" t="s">
        <v>85</v>
      </c>
      <c r="O181" s="4" t="s">
        <v>2276</v>
      </c>
      <c r="P181" s="4" t="s">
        <v>72</v>
      </c>
      <c r="Q181" s="4" t="s">
        <v>73</v>
      </c>
      <c r="R181" s="4" t="s">
        <v>74</v>
      </c>
      <c r="S181" s="4" t="s">
        <v>2277</v>
      </c>
      <c r="T181" s="4" t="s">
        <v>144</v>
      </c>
      <c r="U181" s="4" t="s">
        <v>69</v>
      </c>
      <c r="V181" s="4" t="s">
        <v>2278</v>
      </c>
      <c r="W181" s="4" t="s">
        <v>61</v>
      </c>
      <c r="X181" s="4" t="s">
        <v>517</v>
      </c>
      <c r="Y181" s="4" t="s">
        <v>161</v>
      </c>
    </row>
    <row r="182" customFormat="false" ht="91" hidden="false" customHeight="false" outlineLevel="0" collapsed="false">
      <c r="A182" s="4" t="s">
        <v>2279</v>
      </c>
      <c r="B182" s="4" t="s">
        <v>2280</v>
      </c>
      <c r="C182" s="4" t="s">
        <v>2281</v>
      </c>
      <c r="D182" s="4" t="s">
        <v>61</v>
      </c>
      <c r="E182" s="4" t="s">
        <v>2035</v>
      </c>
      <c r="F182" s="4" t="s">
        <v>2282</v>
      </c>
      <c r="G182" s="4" t="s">
        <v>2283</v>
      </c>
      <c r="H182" s="4" t="s">
        <v>61</v>
      </c>
      <c r="I182" s="4" t="s">
        <v>66</v>
      </c>
      <c r="J182" s="4" t="s">
        <v>2284</v>
      </c>
      <c r="K182" s="4" t="s">
        <v>2285</v>
      </c>
      <c r="L182" s="5" t="s">
        <v>85</v>
      </c>
      <c r="M182" s="4" t="s">
        <v>2286</v>
      </c>
      <c r="N182" s="4" t="s">
        <v>85</v>
      </c>
      <c r="O182" s="4" t="s">
        <v>2287</v>
      </c>
      <c r="P182" s="4" t="s">
        <v>72</v>
      </c>
      <c r="Q182" s="4" t="s">
        <v>316</v>
      </c>
      <c r="R182" s="4" t="s">
        <v>74</v>
      </c>
      <c r="S182" s="4" t="s">
        <v>2288</v>
      </c>
      <c r="T182" s="4" t="s">
        <v>2289</v>
      </c>
      <c r="U182" s="4" t="s">
        <v>2290</v>
      </c>
      <c r="V182" s="4" t="s">
        <v>2291</v>
      </c>
      <c r="W182" s="4" t="s">
        <v>61</v>
      </c>
      <c r="X182" s="4" t="s">
        <v>1036</v>
      </c>
      <c r="Y182" s="4" t="s">
        <v>161</v>
      </c>
    </row>
    <row r="183" customFormat="false" ht="46.25" hidden="false" customHeight="false" outlineLevel="0" collapsed="false">
      <c r="A183" s="4" t="s">
        <v>2292</v>
      </c>
      <c r="B183" s="4" t="s">
        <v>2293</v>
      </c>
      <c r="C183" s="4" t="s">
        <v>2294</v>
      </c>
      <c r="D183" s="4" t="s">
        <v>61</v>
      </c>
      <c r="E183" s="4" t="s">
        <v>2035</v>
      </c>
      <c r="F183" s="4" t="s">
        <v>2295</v>
      </c>
      <c r="G183" s="4" t="s">
        <v>2296</v>
      </c>
      <c r="H183" s="4" t="s">
        <v>61</v>
      </c>
      <c r="I183" s="4" t="s">
        <v>66</v>
      </c>
      <c r="J183" s="4" t="s">
        <v>2297</v>
      </c>
      <c r="K183" s="4" t="s">
        <v>2285</v>
      </c>
      <c r="L183" s="5" t="s">
        <v>85</v>
      </c>
      <c r="M183" s="4" t="s">
        <v>2298</v>
      </c>
      <c r="N183" s="4" t="s">
        <v>85</v>
      </c>
      <c r="O183" s="4" t="s">
        <v>2299</v>
      </c>
      <c r="P183" s="4" t="s">
        <v>72</v>
      </c>
      <c r="Q183" s="4" t="s">
        <v>73</v>
      </c>
      <c r="R183" s="4" t="s">
        <v>74</v>
      </c>
      <c r="S183" s="4" t="s">
        <v>2300</v>
      </c>
      <c r="T183" s="4" t="s">
        <v>144</v>
      </c>
      <c r="U183" s="4" t="s">
        <v>2301</v>
      </c>
      <c r="V183" s="4"/>
      <c r="W183" s="4" t="s">
        <v>61</v>
      </c>
      <c r="X183" s="4" t="s">
        <v>1036</v>
      </c>
      <c r="Y183" s="4" t="s">
        <v>161</v>
      </c>
    </row>
    <row r="184" customFormat="false" ht="46.25" hidden="false" customHeight="false" outlineLevel="0" collapsed="false">
      <c r="A184" s="4" t="s">
        <v>2302</v>
      </c>
      <c r="B184" s="4" t="s">
        <v>2303</v>
      </c>
      <c r="C184" s="4" t="s">
        <v>2304</v>
      </c>
      <c r="D184" s="4" t="s">
        <v>65</v>
      </c>
      <c r="E184" s="4" t="s">
        <v>2035</v>
      </c>
      <c r="F184" s="4" t="s">
        <v>2305</v>
      </c>
      <c r="G184" s="4" t="s">
        <v>2306</v>
      </c>
      <c r="H184" s="4" t="s">
        <v>61</v>
      </c>
      <c r="I184" s="4" t="s">
        <v>66</v>
      </c>
      <c r="J184" s="4" t="s">
        <v>2307</v>
      </c>
      <c r="K184" s="4" t="s">
        <v>85</v>
      </c>
      <c r="L184" s="5" t="s">
        <v>85</v>
      </c>
      <c r="M184" s="4" t="s">
        <v>1619</v>
      </c>
      <c r="N184" s="4" t="s">
        <v>85</v>
      </c>
      <c r="O184" s="4" t="s">
        <v>2308</v>
      </c>
      <c r="P184" s="4" t="s">
        <v>72</v>
      </c>
      <c r="Q184" s="4" t="s">
        <v>73</v>
      </c>
      <c r="R184" s="4" t="s">
        <v>74</v>
      </c>
      <c r="S184" s="4" t="s">
        <v>2309</v>
      </c>
      <c r="T184" s="4" t="s">
        <v>144</v>
      </c>
      <c r="U184" s="4" t="s">
        <v>2310</v>
      </c>
      <c r="V184" s="4" t="s">
        <v>2311</v>
      </c>
      <c r="W184" s="4" t="s">
        <v>61</v>
      </c>
      <c r="X184" s="4" t="s">
        <v>1036</v>
      </c>
      <c r="Y184" s="4" t="s">
        <v>161</v>
      </c>
    </row>
    <row r="185" customFormat="false" ht="57.45" hidden="false" customHeight="false" outlineLevel="0" collapsed="false">
      <c r="A185" s="4" t="s">
        <v>2312</v>
      </c>
      <c r="B185" s="4" t="s">
        <v>2313</v>
      </c>
      <c r="C185" s="4" t="s">
        <v>2314</v>
      </c>
      <c r="D185" s="4" t="s">
        <v>65</v>
      </c>
      <c r="E185" s="4" t="s">
        <v>2035</v>
      </c>
      <c r="F185" s="4" t="s">
        <v>2315</v>
      </c>
      <c r="G185" s="4" t="s">
        <v>2316</v>
      </c>
      <c r="H185" s="4" t="s">
        <v>61</v>
      </c>
      <c r="I185" s="4" t="s">
        <v>66</v>
      </c>
      <c r="J185" s="4" t="s">
        <v>2317</v>
      </c>
      <c r="K185" s="4" t="s">
        <v>85</v>
      </c>
      <c r="L185" s="5" t="s">
        <v>85</v>
      </c>
      <c r="M185" s="4" t="s">
        <v>1619</v>
      </c>
      <c r="N185" s="4" t="s">
        <v>85</v>
      </c>
      <c r="O185" s="4" t="s">
        <v>2318</v>
      </c>
      <c r="P185" s="4" t="s">
        <v>72</v>
      </c>
      <c r="Q185" s="4" t="s">
        <v>73</v>
      </c>
      <c r="R185" s="4" t="s">
        <v>74</v>
      </c>
      <c r="S185" s="4" t="s">
        <v>2319</v>
      </c>
      <c r="T185" s="4" t="s">
        <v>144</v>
      </c>
      <c r="U185" s="4" t="s">
        <v>2320</v>
      </c>
      <c r="V185" s="4" t="s">
        <v>2321</v>
      </c>
      <c r="W185" s="4" t="s">
        <v>61</v>
      </c>
      <c r="X185" s="4" t="s">
        <v>1036</v>
      </c>
      <c r="Y185" s="4" t="s">
        <v>161</v>
      </c>
    </row>
    <row r="186" customFormat="false" ht="57.45" hidden="false" customHeight="false" outlineLevel="0" collapsed="false">
      <c r="A186" s="4" t="s">
        <v>2322</v>
      </c>
      <c r="B186" s="4" t="s">
        <v>2323</v>
      </c>
      <c r="C186" s="4" t="s">
        <v>2324</v>
      </c>
      <c r="D186" s="4" t="s">
        <v>61</v>
      </c>
      <c r="E186" s="4" t="s">
        <v>2035</v>
      </c>
      <c r="F186" s="4" t="s">
        <v>2325</v>
      </c>
      <c r="G186" s="4" t="s">
        <v>2326</v>
      </c>
      <c r="H186" s="4" t="s">
        <v>61</v>
      </c>
      <c r="I186" s="4" t="s">
        <v>66</v>
      </c>
      <c r="J186" s="4" t="s">
        <v>2327</v>
      </c>
      <c r="K186" s="4" t="s">
        <v>2328</v>
      </c>
      <c r="L186" s="5" t="s">
        <v>85</v>
      </c>
      <c r="M186" s="4" t="s">
        <v>1619</v>
      </c>
      <c r="N186" s="4" t="s">
        <v>2329</v>
      </c>
      <c r="O186" s="4" t="s">
        <v>2330</v>
      </c>
      <c r="P186" s="4" t="s">
        <v>72</v>
      </c>
      <c r="Q186" s="4" t="s">
        <v>316</v>
      </c>
      <c r="R186" s="4" t="s">
        <v>74</v>
      </c>
      <c r="S186" s="4" t="s">
        <v>2331</v>
      </c>
      <c r="T186" s="4" t="s">
        <v>2332</v>
      </c>
      <c r="U186" s="4" t="s">
        <v>2333</v>
      </c>
      <c r="V186" s="4"/>
      <c r="W186" s="4" t="s">
        <v>61</v>
      </c>
      <c r="X186" s="4" t="s">
        <v>1036</v>
      </c>
      <c r="Y186" s="4" t="s">
        <v>161</v>
      </c>
    </row>
    <row r="187" customFormat="false" ht="68.65" hidden="false" customHeight="false" outlineLevel="0" collapsed="false">
      <c r="A187" s="4" t="s">
        <v>2334</v>
      </c>
      <c r="B187" s="4" t="s">
        <v>2335</v>
      </c>
      <c r="C187" s="4" t="s">
        <v>2336</v>
      </c>
      <c r="D187" s="4" t="s">
        <v>61</v>
      </c>
      <c r="E187" s="4" t="s">
        <v>2035</v>
      </c>
      <c r="F187" s="4" t="s">
        <v>2337</v>
      </c>
      <c r="G187" s="4" t="s">
        <v>2338</v>
      </c>
      <c r="H187" s="4" t="s">
        <v>61</v>
      </c>
      <c r="I187" s="4" t="s">
        <v>97</v>
      </c>
      <c r="J187" s="4" t="s">
        <v>2339</v>
      </c>
      <c r="K187" s="4" t="s">
        <v>2340</v>
      </c>
      <c r="L187" s="5" t="s">
        <v>85</v>
      </c>
      <c r="M187" s="4" t="s">
        <v>2341</v>
      </c>
      <c r="N187" s="4" t="s">
        <v>85</v>
      </c>
      <c r="O187" s="4" t="s">
        <v>2342</v>
      </c>
      <c r="P187" s="4" t="s">
        <v>72</v>
      </c>
      <c r="Q187" s="4" t="s">
        <v>73</v>
      </c>
      <c r="R187" s="4" t="s">
        <v>74</v>
      </c>
      <c r="S187" s="4" t="s">
        <v>2343</v>
      </c>
      <c r="T187" s="4" t="s">
        <v>2344</v>
      </c>
      <c r="U187" s="4" t="s">
        <v>2345</v>
      </c>
      <c r="V187" s="4" t="s">
        <v>2346</v>
      </c>
      <c r="W187" s="4" t="s">
        <v>61</v>
      </c>
      <c r="X187" s="4" t="s">
        <v>2072</v>
      </c>
      <c r="Y187" s="4" t="s">
        <v>161</v>
      </c>
    </row>
    <row r="188" customFormat="false" ht="79.85" hidden="false" customHeight="false" outlineLevel="0" collapsed="false">
      <c r="A188" s="4" t="s">
        <v>2347</v>
      </c>
      <c r="B188" s="4" t="s">
        <v>2348</v>
      </c>
      <c r="C188" s="4" t="s">
        <v>2349</v>
      </c>
      <c r="D188" s="4" t="s">
        <v>65</v>
      </c>
      <c r="E188" s="4" t="s">
        <v>2035</v>
      </c>
      <c r="F188" s="4" t="s">
        <v>2350</v>
      </c>
      <c r="G188" s="4" t="s">
        <v>2351</v>
      </c>
      <c r="H188" s="4" t="s">
        <v>65</v>
      </c>
      <c r="I188" s="4" t="s">
        <v>128</v>
      </c>
      <c r="J188" s="4" t="s">
        <v>2352</v>
      </c>
      <c r="K188" s="4" t="s">
        <v>2353</v>
      </c>
      <c r="L188" s="6" t="s">
        <v>221</v>
      </c>
      <c r="M188" s="4" t="s">
        <v>2354</v>
      </c>
      <c r="N188" s="4" t="s">
        <v>85</v>
      </c>
      <c r="O188" s="4" t="s">
        <v>2355</v>
      </c>
      <c r="P188" s="4" t="s">
        <v>72</v>
      </c>
      <c r="Q188" s="4" t="s">
        <v>73</v>
      </c>
      <c r="R188" s="4" t="s">
        <v>74</v>
      </c>
      <c r="S188" s="4" t="s">
        <v>2356</v>
      </c>
      <c r="T188" s="4" t="s">
        <v>2357</v>
      </c>
      <c r="U188" s="4" t="s">
        <v>2358</v>
      </c>
      <c r="V188" s="4"/>
      <c r="W188" s="4" t="s">
        <v>2359</v>
      </c>
      <c r="X188" s="4" t="s">
        <v>517</v>
      </c>
      <c r="Y188" s="4" t="s">
        <v>161</v>
      </c>
    </row>
    <row r="189" customFormat="false" ht="46.25" hidden="false" customHeight="false" outlineLevel="0" collapsed="false">
      <c r="A189" s="4" t="s">
        <v>2360</v>
      </c>
      <c r="B189" s="4" t="s">
        <v>2361</v>
      </c>
      <c r="C189" s="4" t="s">
        <v>2362</v>
      </c>
      <c r="D189" s="4" t="s">
        <v>61</v>
      </c>
      <c r="E189" s="4" t="s">
        <v>2035</v>
      </c>
      <c r="F189" s="4" t="s">
        <v>2363</v>
      </c>
      <c r="G189" s="4" t="s">
        <v>2364</v>
      </c>
      <c r="H189" s="4" t="s">
        <v>61</v>
      </c>
      <c r="I189" s="4" t="s">
        <v>66</v>
      </c>
      <c r="J189" s="4" t="s">
        <v>2365</v>
      </c>
      <c r="K189" s="4" t="s">
        <v>85</v>
      </c>
      <c r="L189" s="6" t="s">
        <v>221</v>
      </c>
      <c r="M189" s="4" t="s">
        <v>2366</v>
      </c>
      <c r="N189" s="4" t="s">
        <v>2367</v>
      </c>
      <c r="O189" s="4" t="s">
        <v>2368</v>
      </c>
      <c r="P189" s="4" t="s">
        <v>72</v>
      </c>
      <c r="Q189" s="4" t="s">
        <v>73</v>
      </c>
      <c r="R189" s="4" t="s">
        <v>74</v>
      </c>
      <c r="S189" s="4" t="s">
        <v>2369</v>
      </c>
      <c r="T189" s="4" t="s">
        <v>2370</v>
      </c>
      <c r="U189" s="4" t="s">
        <v>2371</v>
      </c>
      <c r="V189" s="4"/>
      <c r="W189" s="4" t="s">
        <v>61</v>
      </c>
      <c r="X189" s="4" t="s">
        <v>517</v>
      </c>
      <c r="Y189" s="4" t="s">
        <v>161</v>
      </c>
    </row>
    <row r="190" customFormat="false" ht="68.65" hidden="false" customHeight="false" outlineLevel="0" collapsed="false">
      <c r="A190" s="4" t="s">
        <v>2372</v>
      </c>
      <c r="B190" s="4" t="s">
        <v>2373</v>
      </c>
      <c r="C190" s="4" t="s">
        <v>2374</v>
      </c>
      <c r="D190" s="4" t="s">
        <v>65</v>
      </c>
      <c r="E190" s="4" t="s">
        <v>2035</v>
      </c>
      <c r="F190" s="4" t="s">
        <v>2375</v>
      </c>
      <c r="G190" s="4" t="s">
        <v>2376</v>
      </c>
      <c r="H190" s="4" t="s">
        <v>61</v>
      </c>
      <c r="I190" s="4" t="s">
        <v>128</v>
      </c>
      <c r="J190" s="4" t="s">
        <v>2377</v>
      </c>
      <c r="K190" s="4" t="s">
        <v>2378</v>
      </c>
      <c r="L190" s="5" t="s">
        <v>85</v>
      </c>
      <c r="M190" s="4" t="s">
        <v>2379</v>
      </c>
      <c r="N190" s="4" t="s">
        <v>2380</v>
      </c>
      <c r="O190" s="4" t="s">
        <v>2381</v>
      </c>
      <c r="P190" s="4" t="s">
        <v>72</v>
      </c>
      <c r="Q190" s="4" t="s">
        <v>73</v>
      </c>
      <c r="R190" s="4" t="s">
        <v>74</v>
      </c>
      <c r="S190" s="4" t="s">
        <v>2382</v>
      </c>
      <c r="T190" s="4" t="s">
        <v>2383</v>
      </c>
      <c r="U190" s="4" t="s">
        <v>2384</v>
      </c>
      <c r="V190" s="4" t="s">
        <v>2385</v>
      </c>
      <c r="W190" s="4" t="s">
        <v>2386</v>
      </c>
      <c r="X190" s="4" t="s">
        <v>517</v>
      </c>
      <c r="Y190" s="4" t="s">
        <v>161</v>
      </c>
    </row>
    <row r="191" customFormat="false" ht="35.05" hidden="false" customHeight="false" outlineLevel="0" collapsed="false">
      <c r="A191" s="4" t="s">
        <v>2387</v>
      </c>
      <c r="B191" s="4" t="s">
        <v>2388</v>
      </c>
      <c r="C191" s="4" t="s">
        <v>2389</v>
      </c>
      <c r="D191" s="4" t="s">
        <v>61</v>
      </c>
      <c r="E191" s="4" t="s">
        <v>2035</v>
      </c>
      <c r="F191" s="4" t="s">
        <v>2390</v>
      </c>
      <c r="G191" s="4" t="s">
        <v>2391</v>
      </c>
      <c r="H191" s="4" t="s">
        <v>65</v>
      </c>
      <c r="I191" s="4" t="s">
        <v>66</v>
      </c>
      <c r="J191" s="4" t="s">
        <v>2392</v>
      </c>
      <c r="K191" s="4" t="s">
        <v>85</v>
      </c>
      <c r="L191" s="5" t="s">
        <v>85</v>
      </c>
      <c r="M191" s="4" t="s">
        <v>2393</v>
      </c>
      <c r="N191" s="4" t="s">
        <v>85</v>
      </c>
      <c r="O191" s="4" t="s">
        <v>2368</v>
      </c>
      <c r="P191" s="4" t="s">
        <v>72</v>
      </c>
      <c r="Q191" s="4" t="s">
        <v>73</v>
      </c>
      <c r="R191" s="4" t="s">
        <v>74</v>
      </c>
      <c r="S191" s="4" t="s">
        <v>2394</v>
      </c>
      <c r="T191" s="4" t="s">
        <v>2395</v>
      </c>
      <c r="U191" s="4" t="s">
        <v>2396</v>
      </c>
      <c r="V191" s="4" t="s">
        <v>2397</v>
      </c>
      <c r="W191" s="4" t="s">
        <v>2398</v>
      </c>
      <c r="X191" s="4" t="s">
        <v>517</v>
      </c>
      <c r="Y191" s="4" t="s">
        <v>161</v>
      </c>
    </row>
    <row r="192" customFormat="false" ht="23.85" hidden="false" customHeight="false" outlineLevel="0" collapsed="false">
      <c r="A192" s="4" t="s">
        <v>2399</v>
      </c>
      <c r="B192" s="4" t="s">
        <v>2400</v>
      </c>
      <c r="C192" s="4" t="s">
        <v>2401</v>
      </c>
      <c r="D192" s="4" t="s">
        <v>65</v>
      </c>
      <c r="E192" s="4" t="s">
        <v>2035</v>
      </c>
      <c r="F192" s="4" t="s">
        <v>2402</v>
      </c>
      <c r="G192" s="4" t="s">
        <v>2403</v>
      </c>
      <c r="H192" s="4" t="s">
        <v>61</v>
      </c>
      <c r="I192" s="4" t="s">
        <v>66</v>
      </c>
      <c r="J192" s="4" t="s">
        <v>2404</v>
      </c>
      <c r="K192" s="4" t="s">
        <v>85</v>
      </c>
      <c r="L192" s="5" t="s">
        <v>85</v>
      </c>
      <c r="M192" s="4" t="s">
        <v>85</v>
      </c>
      <c r="N192" s="4" t="s">
        <v>85</v>
      </c>
      <c r="O192" s="4" t="s">
        <v>2405</v>
      </c>
      <c r="P192" s="4" t="s">
        <v>72</v>
      </c>
      <c r="Q192" s="4" t="s">
        <v>73</v>
      </c>
      <c r="R192" s="4" t="s">
        <v>74</v>
      </c>
      <c r="S192" s="4" t="s">
        <v>2406</v>
      </c>
      <c r="T192" s="4" t="s">
        <v>144</v>
      </c>
      <c r="U192" s="4" t="s">
        <v>2407</v>
      </c>
      <c r="V192" s="4" t="s">
        <v>2408</v>
      </c>
      <c r="W192" s="4" t="s">
        <v>61</v>
      </c>
      <c r="X192" s="4" t="s">
        <v>517</v>
      </c>
      <c r="Y192" s="4" t="s">
        <v>161</v>
      </c>
    </row>
    <row r="193" customFormat="false" ht="35.05" hidden="false" customHeight="false" outlineLevel="0" collapsed="false">
      <c r="A193" s="4" t="s">
        <v>2409</v>
      </c>
      <c r="B193" s="4" t="s">
        <v>2410</v>
      </c>
      <c r="C193" s="4" t="s">
        <v>2411</v>
      </c>
      <c r="D193" s="4" t="s">
        <v>61</v>
      </c>
      <c r="E193" s="4" t="s">
        <v>2035</v>
      </c>
      <c r="F193" s="4" t="s">
        <v>2412</v>
      </c>
      <c r="G193" s="4" t="s">
        <v>2413</v>
      </c>
      <c r="H193" s="4" t="s">
        <v>65</v>
      </c>
      <c r="I193" s="4" t="s">
        <v>66</v>
      </c>
      <c r="J193" s="4" t="s">
        <v>2414</v>
      </c>
      <c r="K193" s="4" t="s">
        <v>2415</v>
      </c>
      <c r="L193" s="5" t="s">
        <v>85</v>
      </c>
      <c r="M193" s="4" t="s">
        <v>1619</v>
      </c>
      <c r="N193" s="4" t="s">
        <v>85</v>
      </c>
      <c r="O193" s="4" t="s">
        <v>2368</v>
      </c>
      <c r="P193" s="4" t="s">
        <v>72</v>
      </c>
      <c r="Q193" s="4" t="s">
        <v>73</v>
      </c>
      <c r="R193" s="4" t="s">
        <v>74</v>
      </c>
      <c r="S193" s="4" t="s">
        <v>2416</v>
      </c>
      <c r="T193" s="4" t="s">
        <v>144</v>
      </c>
      <c r="U193" s="4" t="s">
        <v>2417</v>
      </c>
      <c r="V193" s="4"/>
      <c r="W193" s="4" t="s">
        <v>2418</v>
      </c>
      <c r="X193" s="4" t="s">
        <v>517</v>
      </c>
      <c r="Y193" s="4" t="s">
        <v>161</v>
      </c>
    </row>
    <row r="194" customFormat="false" ht="91" hidden="false" customHeight="false" outlineLevel="0" collapsed="false">
      <c r="A194" s="4" t="s">
        <v>2419</v>
      </c>
      <c r="B194" s="4" t="s">
        <v>2420</v>
      </c>
      <c r="C194" s="4" t="s">
        <v>2421</v>
      </c>
      <c r="D194" s="4" t="s">
        <v>65</v>
      </c>
      <c r="E194" s="4" t="s">
        <v>2035</v>
      </c>
      <c r="F194" s="4" t="s">
        <v>2422</v>
      </c>
      <c r="G194" s="4" t="s">
        <v>2423</v>
      </c>
      <c r="H194" s="4" t="s">
        <v>61</v>
      </c>
      <c r="I194" s="4" t="s">
        <v>66</v>
      </c>
      <c r="J194" s="4" t="s">
        <v>2424</v>
      </c>
      <c r="K194" s="4" t="s">
        <v>2425</v>
      </c>
      <c r="L194" s="5" t="s">
        <v>85</v>
      </c>
      <c r="M194" s="4" t="s">
        <v>2426</v>
      </c>
      <c r="N194" s="4" t="s">
        <v>2427</v>
      </c>
      <c r="O194" s="4" t="s">
        <v>2428</v>
      </c>
      <c r="P194" s="4" t="s">
        <v>854</v>
      </c>
      <c r="Q194" s="4" t="s">
        <v>74</v>
      </c>
      <c r="R194" s="4" t="s">
        <v>2429</v>
      </c>
      <c r="S194" s="4" t="s">
        <v>2430</v>
      </c>
      <c r="T194" s="4" t="s">
        <v>2431</v>
      </c>
      <c r="U194" s="4" t="s">
        <v>2432</v>
      </c>
      <c r="V194" s="4" t="s">
        <v>2433</v>
      </c>
      <c r="W194" s="4" t="s">
        <v>648</v>
      </c>
      <c r="X194" s="4" t="s">
        <v>1036</v>
      </c>
      <c r="Y194" s="4" t="s">
        <v>649</v>
      </c>
    </row>
    <row r="195" customFormat="false" ht="79.85" hidden="false" customHeight="false" outlineLevel="0" collapsed="false">
      <c r="A195" s="4" t="s">
        <v>2434</v>
      </c>
      <c r="B195" s="4" t="s">
        <v>2435</v>
      </c>
      <c r="C195" s="4" t="s">
        <v>2436</v>
      </c>
      <c r="D195" s="4" t="s">
        <v>61</v>
      </c>
      <c r="E195" s="4" t="s">
        <v>2035</v>
      </c>
      <c r="F195" s="4" t="s">
        <v>2437</v>
      </c>
      <c r="G195" s="4" t="s">
        <v>2438</v>
      </c>
      <c r="H195" s="4" t="s">
        <v>61</v>
      </c>
      <c r="I195" s="4" t="s">
        <v>66</v>
      </c>
      <c r="J195" s="4" t="s">
        <v>2439</v>
      </c>
      <c r="K195" s="4" t="s">
        <v>2440</v>
      </c>
      <c r="L195" s="5" t="s">
        <v>85</v>
      </c>
      <c r="M195" s="4" t="s">
        <v>2441</v>
      </c>
      <c r="N195" s="4" t="s">
        <v>85</v>
      </c>
      <c r="O195" s="4" t="s">
        <v>2442</v>
      </c>
      <c r="P195" s="4" t="s">
        <v>72</v>
      </c>
      <c r="Q195" s="4" t="s">
        <v>73</v>
      </c>
      <c r="R195" s="4" t="s">
        <v>74</v>
      </c>
      <c r="S195" s="4" t="s">
        <v>2443</v>
      </c>
      <c r="T195" s="4" t="s">
        <v>144</v>
      </c>
      <c r="U195" s="4" t="s">
        <v>2444</v>
      </c>
      <c r="V195" s="4"/>
      <c r="W195" s="4" t="s">
        <v>61</v>
      </c>
      <c r="X195" s="4" t="s">
        <v>1036</v>
      </c>
      <c r="Y195" s="4" t="s">
        <v>649</v>
      </c>
    </row>
    <row r="196" customFormat="false" ht="46.25" hidden="false" customHeight="false" outlineLevel="0" collapsed="false">
      <c r="A196" s="4" t="s">
        <v>2445</v>
      </c>
      <c r="B196" s="4" t="s">
        <v>2446</v>
      </c>
      <c r="C196" s="4" t="s">
        <v>2447</v>
      </c>
      <c r="D196" s="4" t="s">
        <v>65</v>
      </c>
      <c r="E196" s="4" t="s">
        <v>2035</v>
      </c>
      <c r="F196" s="4" t="s">
        <v>2448</v>
      </c>
      <c r="G196" s="4" t="s">
        <v>1966</v>
      </c>
      <c r="H196" s="4" t="s">
        <v>61</v>
      </c>
      <c r="I196" s="4" t="s">
        <v>66</v>
      </c>
      <c r="J196" s="4" t="s">
        <v>2449</v>
      </c>
      <c r="K196" s="4" t="s">
        <v>2450</v>
      </c>
      <c r="L196" s="5" t="s">
        <v>85</v>
      </c>
      <c r="M196" s="4" t="s">
        <v>85</v>
      </c>
      <c r="N196" s="4" t="s">
        <v>2451</v>
      </c>
      <c r="O196" s="4" t="s">
        <v>2452</v>
      </c>
      <c r="P196" s="4" t="s">
        <v>72</v>
      </c>
      <c r="Q196" s="4" t="s">
        <v>73</v>
      </c>
      <c r="R196" s="4" t="s">
        <v>74</v>
      </c>
      <c r="S196" s="4" t="s">
        <v>2453</v>
      </c>
      <c r="T196" s="4" t="s">
        <v>2454</v>
      </c>
      <c r="U196" s="4" t="s">
        <v>2455</v>
      </c>
      <c r="V196" s="4"/>
      <c r="W196" s="4" t="s">
        <v>2456</v>
      </c>
      <c r="X196" s="4" t="s">
        <v>1036</v>
      </c>
      <c r="Y196" s="4" t="s">
        <v>649</v>
      </c>
    </row>
    <row r="197" customFormat="false" ht="57.45" hidden="false" customHeight="false" outlineLevel="0" collapsed="false">
      <c r="A197" s="4" t="s">
        <v>2457</v>
      </c>
      <c r="B197" s="4" t="s">
        <v>2458</v>
      </c>
      <c r="C197" s="4" t="s">
        <v>2459</v>
      </c>
      <c r="D197" s="4" t="s">
        <v>61</v>
      </c>
      <c r="E197" s="4" t="s">
        <v>2035</v>
      </c>
      <c r="F197" s="4" t="s">
        <v>2460</v>
      </c>
      <c r="G197" s="4" t="s">
        <v>2461</v>
      </c>
      <c r="H197" s="4" t="s">
        <v>65</v>
      </c>
      <c r="I197" s="4" t="s">
        <v>66</v>
      </c>
      <c r="J197" s="4" t="s">
        <v>2462</v>
      </c>
      <c r="K197" s="4" t="s">
        <v>2463</v>
      </c>
      <c r="L197" s="5" t="s">
        <v>85</v>
      </c>
      <c r="M197" s="4" t="s">
        <v>2464</v>
      </c>
      <c r="N197" s="4" t="s">
        <v>85</v>
      </c>
      <c r="O197" s="4" t="s">
        <v>2465</v>
      </c>
      <c r="P197" s="4" t="s">
        <v>72</v>
      </c>
      <c r="Q197" s="4" t="s">
        <v>73</v>
      </c>
      <c r="R197" s="4" t="s">
        <v>2466</v>
      </c>
      <c r="S197" s="4" t="s">
        <v>2467</v>
      </c>
      <c r="T197" s="4" t="s">
        <v>144</v>
      </c>
      <c r="U197" s="4" t="s">
        <v>2468</v>
      </c>
      <c r="V197" s="4" t="s">
        <v>2469</v>
      </c>
      <c r="W197" s="4" t="s">
        <v>2470</v>
      </c>
      <c r="X197" s="4" t="s">
        <v>2164</v>
      </c>
      <c r="Y197" s="4" t="s">
        <v>649</v>
      </c>
    </row>
    <row r="198" customFormat="false" ht="79.85" hidden="false" customHeight="false" outlineLevel="0" collapsed="false">
      <c r="A198" s="4" t="s">
        <v>2471</v>
      </c>
      <c r="B198" s="4" t="s">
        <v>2472</v>
      </c>
      <c r="C198" s="4" t="s">
        <v>2473</v>
      </c>
      <c r="D198" s="4" t="s">
        <v>61</v>
      </c>
      <c r="E198" s="4" t="s">
        <v>2035</v>
      </c>
      <c r="F198" s="4" t="s">
        <v>2474</v>
      </c>
      <c r="G198" s="4" t="s">
        <v>2475</v>
      </c>
      <c r="H198" s="4" t="s">
        <v>65</v>
      </c>
      <c r="I198" s="4" t="s">
        <v>66</v>
      </c>
      <c r="J198" s="4" t="s">
        <v>2476</v>
      </c>
      <c r="K198" s="4" t="s">
        <v>2477</v>
      </c>
      <c r="L198" s="5" t="s">
        <v>85</v>
      </c>
      <c r="M198" s="4" t="s">
        <v>2478</v>
      </c>
      <c r="N198" s="4" t="s">
        <v>85</v>
      </c>
      <c r="O198" s="4" t="s">
        <v>2479</v>
      </c>
      <c r="P198" s="4" t="s">
        <v>103</v>
      </c>
      <c r="Q198" s="4" t="s">
        <v>73</v>
      </c>
      <c r="R198" s="4" t="s">
        <v>74</v>
      </c>
      <c r="S198" s="4" t="s">
        <v>2480</v>
      </c>
      <c r="T198" s="4" t="s">
        <v>144</v>
      </c>
      <c r="U198" s="4" t="s">
        <v>2481</v>
      </c>
      <c r="V198" s="4" t="s">
        <v>2482</v>
      </c>
      <c r="W198" s="4" t="s">
        <v>2483</v>
      </c>
      <c r="X198" s="4" t="s">
        <v>2164</v>
      </c>
      <c r="Y198" s="4" t="s">
        <v>649</v>
      </c>
    </row>
    <row r="199" customFormat="false" ht="46.25" hidden="false" customHeight="false" outlineLevel="0" collapsed="false">
      <c r="A199" s="4" t="s">
        <v>2484</v>
      </c>
      <c r="B199" s="4" t="s">
        <v>2485</v>
      </c>
      <c r="C199" s="4" t="s">
        <v>2486</v>
      </c>
      <c r="D199" s="4" t="s">
        <v>65</v>
      </c>
      <c r="E199" s="4" t="s">
        <v>2035</v>
      </c>
      <c r="F199" s="4" t="s">
        <v>2487</v>
      </c>
      <c r="G199" s="4" t="s">
        <v>2488</v>
      </c>
      <c r="H199" s="4" t="s">
        <v>61</v>
      </c>
      <c r="I199" s="4" t="s">
        <v>66</v>
      </c>
      <c r="J199" s="4" t="s">
        <v>2489</v>
      </c>
      <c r="K199" s="4" t="s">
        <v>2490</v>
      </c>
      <c r="L199" s="5" t="s">
        <v>85</v>
      </c>
      <c r="M199" s="4" t="s">
        <v>2441</v>
      </c>
      <c r="N199" s="4" t="s">
        <v>85</v>
      </c>
      <c r="O199" s="4" t="s">
        <v>2491</v>
      </c>
      <c r="P199" s="4" t="s">
        <v>72</v>
      </c>
      <c r="Q199" s="4" t="s">
        <v>73</v>
      </c>
      <c r="R199" s="4" t="s">
        <v>74</v>
      </c>
      <c r="S199" s="4" t="s">
        <v>2492</v>
      </c>
      <c r="T199" s="4" t="s">
        <v>144</v>
      </c>
      <c r="U199" s="4" t="s">
        <v>2493</v>
      </c>
      <c r="V199" s="4"/>
      <c r="W199" s="4" t="s">
        <v>648</v>
      </c>
      <c r="X199" s="4" t="s">
        <v>1036</v>
      </c>
      <c r="Y199" s="4" t="s">
        <v>649</v>
      </c>
    </row>
    <row r="200" customFormat="false" ht="91" hidden="false" customHeight="false" outlineLevel="0" collapsed="false">
      <c r="A200" s="4" t="s">
        <v>2494</v>
      </c>
      <c r="B200" s="4" t="s">
        <v>2495</v>
      </c>
      <c r="C200" s="4" t="s">
        <v>2496</v>
      </c>
      <c r="D200" s="4" t="s">
        <v>65</v>
      </c>
      <c r="E200" s="4" t="s">
        <v>2035</v>
      </c>
      <c r="F200" s="4" t="s">
        <v>2497</v>
      </c>
      <c r="G200" s="4" t="s">
        <v>2498</v>
      </c>
      <c r="H200" s="4" t="s">
        <v>61</v>
      </c>
      <c r="I200" s="4" t="s">
        <v>97</v>
      </c>
      <c r="J200" s="4" t="s">
        <v>2499</v>
      </c>
      <c r="K200" s="4" t="s">
        <v>2500</v>
      </c>
      <c r="L200" s="5" t="s">
        <v>85</v>
      </c>
      <c r="M200" s="4" t="s">
        <v>2501</v>
      </c>
      <c r="N200" s="4" t="s">
        <v>2502</v>
      </c>
      <c r="O200" s="4" t="s">
        <v>2503</v>
      </c>
      <c r="P200" s="4" t="s">
        <v>72</v>
      </c>
      <c r="Q200" s="4" t="s">
        <v>316</v>
      </c>
      <c r="R200" s="4" t="s">
        <v>74</v>
      </c>
      <c r="S200" s="4" t="s">
        <v>2504</v>
      </c>
      <c r="T200" s="4" t="s">
        <v>2505</v>
      </c>
      <c r="U200" s="4" t="s">
        <v>2506</v>
      </c>
      <c r="V200" s="4" t="s">
        <v>2507</v>
      </c>
      <c r="W200" s="4" t="s">
        <v>648</v>
      </c>
      <c r="X200" s="4" t="s">
        <v>1648</v>
      </c>
      <c r="Y200" s="4" t="s">
        <v>649</v>
      </c>
    </row>
    <row r="201" customFormat="false" ht="57.45" hidden="false" customHeight="false" outlineLevel="0" collapsed="false">
      <c r="A201" s="4" t="s">
        <v>2508</v>
      </c>
      <c r="B201" s="4" t="s">
        <v>2509</v>
      </c>
      <c r="C201" s="4" t="s">
        <v>2510</v>
      </c>
      <c r="D201" s="4" t="s">
        <v>65</v>
      </c>
      <c r="E201" s="4" t="s">
        <v>2035</v>
      </c>
      <c r="F201" s="4" t="s">
        <v>2511</v>
      </c>
      <c r="G201" s="4" t="s">
        <v>2512</v>
      </c>
      <c r="H201" s="4" t="s">
        <v>61</v>
      </c>
      <c r="I201" s="4" t="s">
        <v>128</v>
      </c>
      <c r="J201" s="4" t="s">
        <v>2513</v>
      </c>
      <c r="K201" s="4" t="s">
        <v>2514</v>
      </c>
      <c r="L201" s="6" t="s">
        <v>221</v>
      </c>
      <c r="M201" s="4" t="s">
        <v>2515</v>
      </c>
      <c r="N201" s="4" t="s">
        <v>85</v>
      </c>
      <c r="O201" s="4" t="s">
        <v>2516</v>
      </c>
      <c r="P201" s="4" t="s">
        <v>72</v>
      </c>
      <c r="Q201" s="4" t="s">
        <v>73</v>
      </c>
      <c r="R201" s="4" t="s">
        <v>74</v>
      </c>
      <c r="S201" s="4" t="s">
        <v>660</v>
      </c>
      <c r="T201" s="4" t="s">
        <v>2517</v>
      </c>
      <c r="U201" s="4" t="s">
        <v>2518</v>
      </c>
      <c r="V201" s="4"/>
      <c r="W201" s="4" t="s">
        <v>61</v>
      </c>
      <c r="X201" s="4" t="s">
        <v>1648</v>
      </c>
      <c r="Y201" s="4" t="s">
        <v>649</v>
      </c>
    </row>
    <row r="202" customFormat="false" ht="35.05" hidden="false" customHeight="false" outlineLevel="0" collapsed="false">
      <c r="A202" s="4" t="s">
        <v>2519</v>
      </c>
      <c r="B202" s="4" t="s">
        <v>2520</v>
      </c>
      <c r="C202" s="4" t="s">
        <v>2521</v>
      </c>
      <c r="D202" s="4" t="s">
        <v>65</v>
      </c>
      <c r="E202" s="4" t="s">
        <v>2035</v>
      </c>
      <c r="F202" s="4" t="s">
        <v>2522</v>
      </c>
      <c r="G202" s="4" t="s">
        <v>2523</v>
      </c>
      <c r="H202" s="4" t="s">
        <v>65</v>
      </c>
      <c r="I202" s="4" t="s">
        <v>66</v>
      </c>
      <c r="J202" s="4" t="s">
        <v>2524</v>
      </c>
      <c r="K202" s="4" t="s">
        <v>85</v>
      </c>
      <c r="L202" s="5" t="s">
        <v>85</v>
      </c>
      <c r="M202" s="4" t="s">
        <v>2525</v>
      </c>
      <c r="N202" s="4" t="s">
        <v>85</v>
      </c>
      <c r="O202" s="4" t="s">
        <v>2526</v>
      </c>
      <c r="P202" s="4" t="s">
        <v>72</v>
      </c>
      <c r="Q202" s="4" t="s">
        <v>73</v>
      </c>
      <c r="R202" s="4" t="s">
        <v>74</v>
      </c>
      <c r="S202" s="4" t="s">
        <v>2527</v>
      </c>
      <c r="T202" s="4" t="s">
        <v>144</v>
      </c>
      <c r="U202" s="4" t="s">
        <v>69</v>
      </c>
      <c r="V202" s="4" t="s">
        <v>2528</v>
      </c>
      <c r="W202" s="4" t="s">
        <v>2529</v>
      </c>
      <c r="X202" s="4" t="s">
        <v>1166</v>
      </c>
      <c r="Y202" s="4" t="s">
        <v>748</v>
      </c>
    </row>
    <row r="203" customFormat="false" ht="68.65" hidden="false" customHeight="false" outlineLevel="0" collapsed="false">
      <c r="A203" s="4" t="s">
        <v>2530</v>
      </c>
      <c r="B203" s="4" t="s">
        <v>2531</v>
      </c>
      <c r="C203" s="4" t="s">
        <v>2532</v>
      </c>
      <c r="D203" s="4" t="s">
        <v>65</v>
      </c>
      <c r="E203" s="4" t="s">
        <v>2035</v>
      </c>
      <c r="F203" s="4" t="s">
        <v>2533</v>
      </c>
      <c r="G203" s="4" t="s">
        <v>2534</v>
      </c>
      <c r="H203" s="4" t="s">
        <v>61</v>
      </c>
      <c r="I203" s="4" t="s">
        <v>66</v>
      </c>
      <c r="J203" s="4" t="s">
        <v>2535</v>
      </c>
      <c r="K203" s="4" t="s">
        <v>2536</v>
      </c>
      <c r="L203" s="5" t="s">
        <v>85</v>
      </c>
      <c r="M203" s="4" t="s">
        <v>2537</v>
      </c>
      <c r="N203" s="4" t="s">
        <v>2538</v>
      </c>
      <c r="O203" s="4" t="s">
        <v>2539</v>
      </c>
      <c r="P203" s="4" t="s">
        <v>103</v>
      </c>
      <c r="Q203" s="4" t="s">
        <v>316</v>
      </c>
      <c r="R203" s="4" t="s">
        <v>74</v>
      </c>
      <c r="S203" s="4" t="s">
        <v>2540</v>
      </c>
      <c r="T203" s="4" t="s">
        <v>2541</v>
      </c>
      <c r="U203" s="4" t="s">
        <v>2542</v>
      </c>
      <c r="V203" s="4" t="s">
        <v>2543</v>
      </c>
      <c r="W203" s="4" t="s">
        <v>1165</v>
      </c>
      <c r="X203" s="4" t="s">
        <v>1648</v>
      </c>
      <c r="Y203" s="4" t="s">
        <v>748</v>
      </c>
    </row>
    <row r="204" customFormat="false" ht="35.05" hidden="false" customHeight="false" outlineLevel="0" collapsed="false">
      <c r="A204" s="4" t="s">
        <v>2544</v>
      </c>
      <c r="B204" s="4" t="s">
        <v>2545</v>
      </c>
      <c r="C204" s="4" t="s">
        <v>2546</v>
      </c>
      <c r="D204" s="4" t="s">
        <v>65</v>
      </c>
      <c r="E204" s="4" t="s">
        <v>2035</v>
      </c>
      <c r="F204" s="4" t="s">
        <v>2547</v>
      </c>
      <c r="G204" s="4" t="s">
        <v>2548</v>
      </c>
      <c r="H204" s="4" t="s">
        <v>61</v>
      </c>
      <c r="I204" s="4" t="s">
        <v>128</v>
      </c>
      <c r="J204" s="4" t="s">
        <v>2549</v>
      </c>
      <c r="K204" s="4" t="s">
        <v>85</v>
      </c>
      <c r="L204" s="5" t="s">
        <v>85</v>
      </c>
      <c r="M204" s="4" t="s">
        <v>2550</v>
      </c>
      <c r="N204" s="4" t="s">
        <v>2551</v>
      </c>
      <c r="O204" s="4" t="s">
        <v>2552</v>
      </c>
      <c r="P204" s="4" t="s">
        <v>72</v>
      </c>
      <c r="Q204" s="4" t="s">
        <v>73</v>
      </c>
      <c r="R204" s="4" t="s">
        <v>74</v>
      </c>
      <c r="S204" s="4" t="s">
        <v>2553</v>
      </c>
      <c r="T204" s="4" t="s">
        <v>2554</v>
      </c>
      <c r="U204" s="4" t="s">
        <v>2555</v>
      </c>
      <c r="V204" s="4"/>
      <c r="W204" s="4" t="s">
        <v>2556</v>
      </c>
      <c r="X204" s="4" t="s">
        <v>517</v>
      </c>
      <c r="Y204" s="4" t="s">
        <v>748</v>
      </c>
    </row>
    <row r="205" customFormat="false" ht="35.05" hidden="false" customHeight="false" outlineLevel="0" collapsed="false">
      <c r="A205" s="4" t="s">
        <v>2557</v>
      </c>
      <c r="B205" s="4" t="s">
        <v>2558</v>
      </c>
      <c r="C205" s="4" t="s">
        <v>2559</v>
      </c>
      <c r="D205" s="4" t="s">
        <v>65</v>
      </c>
      <c r="E205" s="4" t="s">
        <v>2035</v>
      </c>
      <c r="F205" s="4" t="s">
        <v>2560</v>
      </c>
      <c r="G205" s="4" t="s">
        <v>2561</v>
      </c>
      <c r="H205" s="4" t="s">
        <v>61</v>
      </c>
      <c r="I205" s="4" t="s">
        <v>66</v>
      </c>
      <c r="J205" s="4" t="s">
        <v>2562</v>
      </c>
      <c r="K205" s="4" t="s">
        <v>85</v>
      </c>
      <c r="L205" s="5" t="s">
        <v>85</v>
      </c>
      <c r="M205" s="4" t="s">
        <v>208</v>
      </c>
      <c r="N205" s="4" t="s">
        <v>2563</v>
      </c>
      <c r="O205" s="4" t="s">
        <v>2564</v>
      </c>
      <c r="P205" s="4" t="s">
        <v>72</v>
      </c>
      <c r="Q205" s="4" t="s">
        <v>73</v>
      </c>
      <c r="R205" s="4" t="s">
        <v>74</v>
      </c>
      <c r="S205" s="4" t="s">
        <v>2565</v>
      </c>
      <c r="T205" s="4" t="s">
        <v>144</v>
      </c>
      <c r="U205" s="4" t="s">
        <v>2566</v>
      </c>
      <c r="V205" s="4"/>
      <c r="W205" s="4" t="s">
        <v>61</v>
      </c>
      <c r="X205" s="4" t="s">
        <v>1648</v>
      </c>
      <c r="Y205" s="4" t="s">
        <v>678</v>
      </c>
    </row>
    <row r="206" customFormat="false" ht="68.65" hidden="false" customHeight="false" outlineLevel="0" collapsed="false">
      <c r="A206" s="4" t="s">
        <v>2567</v>
      </c>
      <c r="B206" s="4" t="s">
        <v>2568</v>
      </c>
      <c r="C206" s="4" t="s">
        <v>2569</v>
      </c>
      <c r="D206" s="4" t="s">
        <v>65</v>
      </c>
      <c r="E206" s="4" t="s">
        <v>2035</v>
      </c>
      <c r="F206" s="4" t="s">
        <v>2570</v>
      </c>
      <c r="G206" s="4" t="s">
        <v>2571</v>
      </c>
      <c r="H206" s="4" t="s">
        <v>65</v>
      </c>
      <c r="I206" s="4" t="s">
        <v>128</v>
      </c>
      <c r="J206" s="4" t="s">
        <v>2572</v>
      </c>
      <c r="K206" s="4" t="s">
        <v>85</v>
      </c>
      <c r="L206" s="5" t="s">
        <v>85</v>
      </c>
      <c r="M206" s="4" t="s">
        <v>2573</v>
      </c>
      <c r="N206" s="4" t="s">
        <v>85</v>
      </c>
      <c r="O206" s="4" t="s">
        <v>2574</v>
      </c>
      <c r="P206" s="4" t="s">
        <v>72</v>
      </c>
      <c r="Q206" s="4" t="s">
        <v>73</v>
      </c>
      <c r="R206" s="4" t="s">
        <v>2575</v>
      </c>
      <c r="S206" s="4" t="s">
        <v>2576</v>
      </c>
      <c r="T206" s="4" t="s">
        <v>144</v>
      </c>
      <c r="U206" s="4" t="s">
        <v>2577</v>
      </c>
      <c r="V206" s="4"/>
      <c r="W206" s="4" t="s">
        <v>2578</v>
      </c>
      <c r="X206" s="4" t="s">
        <v>2164</v>
      </c>
      <c r="Y206" s="4" t="s">
        <v>678</v>
      </c>
    </row>
    <row r="207" customFormat="false" ht="68.65" hidden="false" customHeight="false" outlineLevel="0" collapsed="false">
      <c r="A207" s="4" t="s">
        <v>2579</v>
      </c>
      <c r="B207" s="4" t="s">
        <v>2580</v>
      </c>
      <c r="C207" s="4" t="s">
        <v>2581</v>
      </c>
      <c r="D207" s="4" t="s">
        <v>65</v>
      </c>
      <c r="E207" s="4" t="s">
        <v>2035</v>
      </c>
      <c r="F207" s="4" t="s">
        <v>2582</v>
      </c>
      <c r="G207" s="4" t="s">
        <v>2583</v>
      </c>
      <c r="H207" s="4" t="s">
        <v>61</v>
      </c>
      <c r="I207" s="4" t="s">
        <v>66</v>
      </c>
      <c r="J207" s="4" t="s">
        <v>2584</v>
      </c>
      <c r="K207" s="4" t="s">
        <v>2585</v>
      </c>
      <c r="L207" s="5" t="s">
        <v>85</v>
      </c>
      <c r="M207" s="4" t="s">
        <v>85</v>
      </c>
      <c r="N207" s="4" t="s">
        <v>2586</v>
      </c>
      <c r="O207" s="4" t="s">
        <v>2587</v>
      </c>
      <c r="P207" s="4" t="s">
        <v>72</v>
      </c>
      <c r="Q207" s="4" t="s">
        <v>316</v>
      </c>
      <c r="R207" s="4" t="s">
        <v>74</v>
      </c>
      <c r="S207" s="4" t="s">
        <v>2588</v>
      </c>
      <c r="T207" s="4" t="s">
        <v>2589</v>
      </c>
      <c r="U207" s="4" t="s">
        <v>2590</v>
      </c>
      <c r="V207" s="4"/>
      <c r="W207" s="4" t="s">
        <v>2591</v>
      </c>
      <c r="X207" s="4" t="s">
        <v>1648</v>
      </c>
      <c r="Y207" s="4" t="s">
        <v>678</v>
      </c>
    </row>
    <row r="208" customFormat="false" ht="79.85" hidden="false" customHeight="false" outlineLevel="0" collapsed="false">
      <c r="A208" s="4" t="s">
        <v>2592</v>
      </c>
      <c r="B208" s="4" t="s">
        <v>2593</v>
      </c>
      <c r="C208" s="4" t="s">
        <v>2594</v>
      </c>
      <c r="D208" s="4" t="s">
        <v>65</v>
      </c>
      <c r="E208" s="4" t="s">
        <v>2035</v>
      </c>
      <c r="F208" s="4" t="s">
        <v>2595</v>
      </c>
      <c r="G208" s="4" t="s">
        <v>2596</v>
      </c>
      <c r="H208" s="4" t="s">
        <v>61</v>
      </c>
      <c r="I208" s="4" t="s">
        <v>66</v>
      </c>
      <c r="J208" s="4" t="s">
        <v>2597</v>
      </c>
      <c r="K208" s="4" t="s">
        <v>2598</v>
      </c>
      <c r="L208" s="5" t="s">
        <v>85</v>
      </c>
      <c r="M208" s="4" t="s">
        <v>85</v>
      </c>
      <c r="N208" s="4" t="s">
        <v>2599</v>
      </c>
      <c r="O208" s="4" t="s">
        <v>2600</v>
      </c>
      <c r="P208" s="4" t="s">
        <v>103</v>
      </c>
      <c r="Q208" s="4" t="s">
        <v>74</v>
      </c>
      <c r="R208" s="4" t="s">
        <v>74</v>
      </c>
      <c r="S208" s="4" t="s">
        <v>2601</v>
      </c>
      <c r="T208" s="4" t="s">
        <v>2602</v>
      </c>
      <c r="U208" s="4" t="s">
        <v>2603</v>
      </c>
      <c r="V208" s="4" t="s">
        <v>2604</v>
      </c>
      <c r="W208" s="4" t="s">
        <v>705</v>
      </c>
      <c r="X208" s="4" t="s">
        <v>1648</v>
      </c>
      <c r="Y208" s="4" t="s">
        <v>678</v>
      </c>
    </row>
    <row r="209" customFormat="false" ht="46.25" hidden="false" customHeight="false" outlineLevel="0" collapsed="false">
      <c r="A209" s="4" t="s">
        <v>2605</v>
      </c>
      <c r="B209" s="4" t="s">
        <v>2606</v>
      </c>
      <c r="C209" s="4" t="s">
        <v>2607</v>
      </c>
      <c r="D209" s="4" t="s">
        <v>65</v>
      </c>
      <c r="E209" s="4" t="s">
        <v>2035</v>
      </c>
      <c r="F209" s="4" t="s">
        <v>2608</v>
      </c>
      <c r="G209" s="4" t="s">
        <v>2609</v>
      </c>
      <c r="H209" s="4" t="s">
        <v>61</v>
      </c>
      <c r="I209" s="4" t="s">
        <v>66</v>
      </c>
      <c r="J209" s="4" t="s">
        <v>2610</v>
      </c>
      <c r="K209" s="4" t="s">
        <v>2611</v>
      </c>
      <c r="L209" s="5" t="s">
        <v>85</v>
      </c>
      <c r="M209" s="4" t="s">
        <v>85</v>
      </c>
      <c r="N209" s="4" t="s">
        <v>2612</v>
      </c>
      <c r="O209" s="4" t="s">
        <v>2613</v>
      </c>
      <c r="P209" s="4" t="s">
        <v>72</v>
      </c>
      <c r="Q209" s="4" t="s">
        <v>316</v>
      </c>
      <c r="R209" s="4" t="s">
        <v>74</v>
      </c>
      <c r="S209" s="4" t="s">
        <v>2614</v>
      </c>
      <c r="T209" s="4" t="s">
        <v>2615</v>
      </c>
      <c r="U209" s="4" t="s">
        <v>2616</v>
      </c>
      <c r="V209" s="4"/>
      <c r="W209" s="4" t="s">
        <v>2617</v>
      </c>
      <c r="X209" s="4" t="s">
        <v>1648</v>
      </c>
      <c r="Y209" s="4" t="s">
        <v>678</v>
      </c>
    </row>
    <row r="210" customFormat="false" ht="35.05" hidden="false" customHeight="false" outlineLevel="0" collapsed="false">
      <c r="A210" s="4" t="s">
        <v>2618</v>
      </c>
      <c r="B210" s="4" t="s">
        <v>2619</v>
      </c>
      <c r="C210" s="4" t="s">
        <v>2620</v>
      </c>
      <c r="D210" s="4" t="s">
        <v>65</v>
      </c>
      <c r="E210" s="4" t="s">
        <v>2035</v>
      </c>
      <c r="F210" s="4" t="s">
        <v>2621</v>
      </c>
      <c r="G210" s="4" t="s">
        <v>2609</v>
      </c>
      <c r="H210" s="4" t="s">
        <v>61</v>
      </c>
      <c r="I210" s="4" t="s">
        <v>66</v>
      </c>
      <c r="J210" s="4" t="s">
        <v>2622</v>
      </c>
      <c r="K210" s="4" t="s">
        <v>2623</v>
      </c>
      <c r="L210" s="5" t="s">
        <v>85</v>
      </c>
      <c r="M210" s="4" t="s">
        <v>85</v>
      </c>
      <c r="N210" s="4" t="s">
        <v>2624</v>
      </c>
      <c r="O210" s="4" t="s">
        <v>2625</v>
      </c>
      <c r="P210" s="4" t="s">
        <v>72</v>
      </c>
      <c r="Q210" s="4" t="s">
        <v>316</v>
      </c>
      <c r="R210" s="4" t="s">
        <v>74</v>
      </c>
      <c r="S210" s="4" t="s">
        <v>2626</v>
      </c>
      <c r="T210" s="4" t="s">
        <v>2615</v>
      </c>
      <c r="U210" s="4" t="s">
        <v>2627</v>
      </c>
      <c r="V210" s="4"/>
      <c r="W210" s="4" t="s">
        <v>2617</v>
      </c>
      <c r="X210" s="4" t="s">
        <v>1648</v>
      </c>
      <c r="Y210" s="4" t="s">
        <v>678</v>
      </c>
    </row>
    <row r="211" customFormat="false" ht="68.65" hidden="false" customHeight="false" outlineLevel="0" collapsed="false">
      <c r="A211" s="4" t="s">
        <v>2628</v>
      </c>
      <c r="B211" s="4" t="s">
        <v>2629</v>
      </c>
      <c r="C211" s="4" t="s">
        <v>2630</v>
      </c>
      <c r="D211" s="4" t="s">
        <v>61</v>
      </c>
      <c r="E211" s="4" t="s">
        <v>2035</v>
      </c>
      <c r="F211" s="4" t="s">
        <v>2631</v>
      </c>
      <c r="G211" s="4" t="s">
        <v>2632</v>
      </c>
      <c r="H211" s="4" t="s">
        <v>65</v>
      </c>
      <c r="I211" s="4" t="s">
        <v>66</v>
      </c>
      <c r="J211" s="4" t="s">
        <v>2633</v>
      </c>
      <c r="K211" s="4" t="s">
        <v>2634</v>
      </c>
      <c r="L211" s="5" t="s">
        <v>85</v>
      </c>
      <c r="M211" s="4" t="s">
        <v>208</v>
      </c>
      <c r="N211" s="4" t="s">
        <v>2635</v>
      </c>
      <c r="O211" s="4" t="s">
        <v>301</v>
      </c>
      <c r="P211" s="4" t="s">
        <v>72</v>
      </c>
      <c r="Q211" s="4" t="s">
        <v>316</v>
      </c>
      <c r="R211" s="4" t="s">
        <v>74</v>
      </c>
      <c r="S211" s="4" t="s">
        <v>2636</v>
      </c>
      <c r="T211" s="4" t="s">
        <v>2637</v>
      </c>
      <c r="U211" s="4" t="s">
        <v>2638</v>
      </c>
      <c r="V211" s="4" t="s">
        <v>2639</v>
      </c>
      <c r="W211" s="4" t="s">
        <v>2640</v>
      </c>
      <c r="X211" s="4" t="s">
        <v>1036</v>
      </c>
      <c r="Y211" s="4" t="s">
        <v>678</v>
      </c>
    </row>
    <row r="212" customFormat="false" ht="35.05" hidden="false" customHeight="false" outlineLevel="0" collapsed="false">
      <c r="A212" s="4" t="s">
        <v>2641</v>
      </c>
      <c r="B212" s="4" t="s">
        <v>2642</v>
      </c>
      <c r="C212" s="4" t="s">
        <v>2643</v>
      </c>
      <c r="D212" s="4" t="s">
        <v>61</v>
      </c>
      <c r="E212" s="4" t="s">
        <v>2035</v>
      </c>
      <c r="F212" s="4" t="s">
        <v>2644</v>
      </c>
      <c r="G212" s="4" t="s">
        <v>2645</v>
      </c>
      <c r="H212" s="4" t="s">
        <v>65</v>
      </c>
      <c r="I212" s="4" t="s">
        <v>66</v>
      </c>
      <c r="J212" s="4" t="s">
        <v>2646</v>
      </c>
      <c r="K212" s="4" t="s">
        <v>2647</v>
      </c>
      <c r="L212" s="5" t="s">
        <v>85</v>
      </c>
      <c r="M212" s="4" t="s">
        <v>2648</v>
      </c>
      <c r="N212" s="4" t="s">
        <v>85</v>
      </c>
      <c r="O212" s="4" t="s">
        <v>301</v>
      </c>
      <c r="P212" s="4" t="s">
        <v>72</v>
      </c>
      <c r="Q212" s="4" t="s">
        <v>316</v>
      </c>
      <c r="R212" s="4" t="s">
        <v>74</v>
      </c>
      <c r="S212" s="4" t="s">
        <v>2649</v>
      </c>
      <c r="T212" s="4" t="s">
        <v>2650</v>
      </c>
      <c r="U212" s="4" t="s">
        <v>2651</v>
      </c>
      <c r="V212" s="4" t="s">
        <v>2652</v>
      </c>
      <c r="W212" s="4" t="s">
        <v>2483</v>
      </c>
      <c r="X212" s="4" t="s">
        <v>376</v>
      </c>
      <c r="Y212" s="4" t="s">
        <v>678</v>
      </c>
    </row>
    <row r="213" customFormat="false" ht="46.25" hidden="false" customHeight="false" outlineLevel="0" collapsed="false">
      <c r="A213" s="4" t="s">
        <v>2653</v>
      </c>
      <c r="B213" s="4" t="s">
        <v>2654</v>
      </c>
      <c r="C213" s="4" t="s">
        <v>2655</v>
      </c>
      <c r="D213" s="4" t="s">
        <v>61</v>
      </c>
      <c r="E213" s="4" t="s">
        <v>2035</v>
      </c>
      <c r="F213" s="4" t="s">
        <v>2656</v>
      </c>
      <c r="G213" s="4" t="s">
        <v>2657</v>
      </c>
      <c r="H213" s="4" t="s">
        <v>65</v>
      </c>
      <c r="I213" s="4" t="s">
        <v>66</v>
      </c>
      <c r="J213" s="4" t="s">
        <v>2658</v>
      </c>
      <c r="K213" s="4" t="s">
        <v>2659</v>
      </c>
      <c r="L213" s="5" t="s">
        <v>85</v>
      </c>
      <c r="M213" s="4" t="s">
        <v>208</v>
      </c>
      <c r="N213" s="4" t="s">
        <v>85</v>
      </c>
      <c r="O213" s="4" t="s">
        <v>301</v>
      </c>
      <c r="P213" s="4" t="s">
        <v>72</v>
      </c>
      <c r="Q213" s="4" t="s">
        <v>73</v>
      </c>
      <c r="R213" s="4" t="s">
        <v>74</v>
      </c>
      <c r="S213" s="4" t="s">
        <v>2660</v>
      </c>
      <c r="T213" s="4" t="s">
        <v>144</v>
      </c>
      <c r="U213" s="4" t="s">
        <v>69</v>
      </c>
      <c r="V213" s="4"/>
      <c r="W213" s="4" t="s">
        <v>2661</v>
      </c>
      <c r="X213" s="4" t="s">
        <v>1036</v>
      </c>
      <c r="Y213" s="4" t="s">
        <v>678</v>
      </c>
    </row>
    <row r="214" customFormat="false" ht="68.65" hidden="false" customHeight="false" outlineLevel="0" collapsed="false">
      <c r="A214" s="4" t="s">
        <v>2662</v>
      </c>
      <c r="B214" s="4" t="s">
        <v>2663</v>
      </c>
      <c r="C214" s="4" t="s">
        <v>2664</v>
      </c>
      <c r="D214" s="4" t="s">
        <v>61</v>
      </c>
      <c r="E214" s="4" t="s">
        <v>2035</v>
      </c>
      <c r="F214" s="4" t="s">
        <v>2665</v>
      </c>
      <c r="G214" s="4" t="s">
        <v>2666</v>
      </c>
      <c r="H214" s="4" t="s">
        <v>61</v>
      </c>
      <c r="I214" s="4" t="s">
        <v>66</v>
      </c>
      <c r="J214" s="4" t="s">
        <v>2667</v>
      </c>
      <c r="K214" s="4" t="s">
        <v>2668</v>
      </c>
      <c r="L214" s="6" t="s">
        <v>221</v>
      </c>
      <c r="M214" s="4" t="s">
        <v>2669</v>
      </c>
      <c r="N214" s="4" t="s">
        <v>85</v>
      </c>
      <c r="O214" s="4" t="s">
        <v>1302</v>
      </c>
      <c r="P214" s="4" t="s">
        <v>72</v>
      </c>
      <c r="Q214" s="4" t="s">
        <v>73</v>
      </c>
      <c r="R214" s="4" t="s">
        <v>74</v>
      </c>
      <c r="S214" s="4" t="s">
        <v>2670</v>
      </c>
      <c r="T214" s="4" t="s">
        <v>2671</v>
      </c>
      <c r="U214" s="4" t="s">
        <v>2672</v>
      </c>
      <c r="V214" s="4"/>
      <c r="W214" s="4" t="s">
        <v>61</v>
      </c>
      <c r="X214" s="4" t="s">
        <v>1447</v>
      </c>
      <c r="Y214" s="4" t="s">
        <v>390</v>
      </c>
    </row>
    <row r="215" customFormat="false" ht="68.65" hidden="false" customHeight="false" outlineLevel="0" collapsed="false">
      <c r="A215" s="4" t="s">
        <v>2673</v>
      </c>
      <c r="B215" s="4" t="s">
        <v>2674</v>
      </c>
      <c r="C215" s="4" t="s">
        <v>2675</v>
      </c>
      <c r="D215" s="4" t="s">
        <v>65</v>
      </c>
      <c r="E215" s="4" t="s">
        <v>2035</v>
      </c>
      <c r="F215" s="4" t="s">
        <v>2676</v>
      </c>
      <c r="G215" s="4" t="s">
        <v>2677</v>
      </c>
      <c r="H215" s="4" t="s">
        <v>65</v>
      </c>
      <c r="I215" s="4" t="s">
        <v>66</v>
      </c>
      <c r="J215" s="4" t="s">
        <v>2678</v>
      </c>
      <c r="K215" s="4" t="s">
        <v>2679</v>
      </c>
      <c r="L215" s="5" t="s">
        <v>85</v>
      </c>
      <c r="M215" s="4" t="s">
        <v>85</v>
      </c>
      <c r="N215" s="4" t="s">
        <v>85</v>
      </c>
      <c r="O215" s="4" t="s">
        <v>2680</v>
      </c>
      <c r="P215" s="4" t="s">
        <v>72</v>
      </c>
      <c r="Q215" s="4" t="s">
        <v>73</v>
      </c>
      <c r="R215" s="4" t="s">
        <v>74</v>
      </c>
      <c r="S215" s="4" t="s">
        <v>2681</v>
      </c>
      <c r="T215" s="4" t="s">
        <v>144</v>
      </c>
      <c r="U215" s="4" t="s">
        <v>2682</v>
      </c>
      <c r="V215" s="4"/>
      <c r="W215" s="4" t="s">
        <v>2683</v>
      </c>
      <c r="X215" s="4" t="s">
        <v>2072</v>
      </c>
      <c r="Y215" s="4" t="s">
        <v>390</v>
      </c>
    </row>
    <row r="216" customFormat="false" ht="23.85" hidden="false" customHeight="false" outlineLevel="0" collapsed="false">
      <c r="A216" s="4" t="s">
        <v>2684</v>
      </c>
      <c r="B216" s="4" t="s">
        <v>2685</v>
      </c>
      <c r="C216" s="4" t="s">
        <v>2686</v>
      </c>
      <c r="D216" s="4" t="s">
        <v>65</v>
      </c>
      <c r="E216" s="4" t="s">
        <v>2035</v>
      </c>
      <c r="F216" s="4" t="s">
        <v>2687</v>
      </c>
      <c r="G216" s="4" t="s">
        <v>2688</v>
      </c>
      <c r="H216" s="4" t="s">
        <v>61</v>
      </c>
      <c r="I216" s="4" t="s">
        <v>66</v>
      </c>
      <c r="J216" s="4" t="s">
        <v>2689</v>
      </c>
      <c r="K216" s="4" t="s">
        <v>2690</v>
      </c>
      <c r="L216" s="5" t="s">
        <v>85</v>
      </c>
      <c r="M216" s="4" t="s">
        <v>85</v>
      </c>
      <c r="N216" s="4" t="s">
        <v>85</v>
      </c>
      <c r="O216" s="4" t="s">
        <v>2691</v>
      </c>
      <c r="P216" s="4" t="s">
        <v>72</v>
      </c>
      <c r="Q216" s="4" t="s">
        <v>73</v>
      </c>
      <c r="R216" s="4" t="s">
        <v>74</v>
      </c>
      <c r="S216" s="4" t="s">
        <v>2692</v>
      </c>
      <c r="T216" s="4" t="s">
        <v>144</v>
      </c>
      <c r="U216" s="4" t="s">
        <v>2693</v>
      </c>
      <c r="V216" s="4"/>
      <c r="W216" s="4" t="s">
        <v>61</v>
      </c>
      <c r="X216" s="4" t="s">
        <v>2072</v>
      </c>
      <c r="Y216" s="4" t="s">
        <v>390</v>
      </c>
    </row>
    <row r="217" customFormat="false" ht="46.25" hidden="false" customHeight="false" outlineLevel="0" collapsed="false">
      <c r="A217" s="4" t="s">
        <v>2694</v>
      </c>
      <c r="B217" s="4" t="s">
        <v>1708</v>
      </c>
      <c r="C217" s="4" t="s">
        <v>2695</v>
      </c>
      <c r="D217" s="4" t="s">
        <v>65</v>
      </c>
      <c r="E217" s="4" t="s">
        <v>2035</v>
      </c>
      <c r="F217" s="4" t="s">
        <v>1710</v>
      </c>
      <c r="G217" s="4" t="s">
        <v>2696</v>
      </c>
      <c r="H217" s="4" t="s">
        <v>65</v>
      </c>
      <c r="I217" s="4" t="s">
        <v>66</v>
      </c>
      <c r="J217" s="4" t="s">
        <v>2697</v>
      </c>
      <c r="K217" s="4" t="s">
        <v>2698</v>
      </c>
      <c r="L217" s="5" t="s">
        <v>85</v>
      </c>
      <c r="M217" s="4" t="s">
        <v>85</v>
      </c>
      <c r="N217" s="4" t="s">
        <v>85</v>
      </c>
      <c r="O217" s="4" t="s">
        <v>2699</v>
      </c>
      <c r="P217" s="4" t="s">
        <v>72</v>
      </c>
      <c r="Q217" s="4" t="s">
        <v>73</v>
      </c>
      <c r="R217" s="4" t="s">
        <v>2700</v>
      </c>
      <c r="S217" s="4" t="s">
        <v>2701</v>
      </c>
      <c r="T217" s="4" t="s">
        <v>144</v>
      </c>
      <c r="U217" s="4" t="s">
        <v>2702</v>
      </c>
      <c r="V217" s="4"/>
      <c r="W217" s="4" t="s">
        <v>2703</v>
      </c>
      <c r="X217" s="4" t="s">
        <v>213</v>
      </c>
      <c r="Y217" s="4" t="s">
        <v>390</v>
      </c>
    </row>
    <row r="218" customFormat="false" ht="79.85" hidden="false" customHeight="false" outlineLevel="0" collapsed="false">
      <c r="A218" s="4" t="s">
        <v>2704</v>
      </c>
      <c r="B218" s="4" t="s">
        <v>2705</v>
      </c>
      <c r="C218" s="4" t="s">
        <v>2706</v>
      </c>
      <c r="D218" s="4" t="s">
        <v>65</v>
      </c>
      <c r="E218" s="4" t="s">
        <v>2035</v>
      </c>
      <c r="F218" s="4" t="s">
        <v>2707</v>
      </c>
      <c r="G218" s="4" t="s">
        <v>2571</v>
      </c>
      <c r="H218" s="4" t="s">
        <v>65</v>
      </c>
      <c r="I218" s="4" t="s">
        <v>66</v>
      </c>
      <c r="J218" s="4" t="s">
        <v>2708</v>
      </c>
      <c r="K218" s="4" t="s">
        <v>85</v>
      </c>
      <c r="L218" s="6" t="s">
        <v>221</v>
      </c>
      <c r="M218" s="4" t="s">
        <v>2709</v>
      </c>
      <c r="N218" s="4" t="s">
        <v>85</v>
      </c>
      <c r="O218" s="4" t="s">
        <v>2710</v>
      </c>
      <c r="P218" s="4" t="s">
        <v>72</v>
      </c>
      <c r="Q218" s="4" t="s">
        <v>73</v>
      </c>
      <c r="R218" s="4" t="s">
        <v>2711</v>
      </c>
      <c r="S218" s="4" t="s">
        <v>2712</v>
      </c>
      <c r="T218" s="4" t="s">
        <v>144</v>
      </c>
      <c r="U218" s="4" t="s">
        <v>2713</v>
      </c>
      <c r="V218" s="4"/>
      <c r="W218" s="4" t="s">
        <v>2714</v>
      </c>
      <c r="X218" s="4" t="s">
        <v>2164</v>
      </c>
      <c r="Y218" s="4" t="s">
        <v>214</v>
      </c>
    </row>
    <row r="219" customFormat="false" ht="57.45" hidden="false" customHeight="false" outlineLevel="0" collapsed="false">
      <c r="A219" s="4" t="s">
        <v>2715</v>
      </c>
      <c r="B219" s="4" t="s">
        <v>2716</v>
      </c>
      <c r="C219" s="4" t="s">
        <v>2717</v>
      </c>
      <c r="D219" s="4" t="s">
        <v>65</v>
      </c>
      <c r="E219" s="4" t="s">
        <v>2035</v>
      </c>
      <c r="F219" s="4" t="s">
        <v>2718</v>
      </c>
      <c r="G219" s="4" t="s">
        <v>2719</v>
      </c>
      <c r="H219" s="4" t="s">
        <v>61</v>
      </c>
      <c r="I219" s="4" t="s">
        <v>66</v>
      </c>
      <c r="J219" s="4" t="s">
        <v>2720</v>
      </c>
      <c r="K219" s="4" t="s">
        <v>85</v>
      </c>
      <c r="L219" s="5" t="s">
        <v>85</v>
      </c>
      <c r="M219" s="4" t="s">
        <v>85</v>
      </c>
      <c r="N219" s="4" t="s">
        <v>85</v>
      </c>
      <c r="O219" s="4" t="s">
        <v>2721</v>
      </c>
      <c r="P219" s="4" t="s">
        <v>72</v>
      </c>
      <c r="Q219" s="4" t="s">
        <v>73</v>
      </c>
      <c r="R219" s="4" t="s">
        <v>74</v>
      </c>
      <c r="S219" s="4" t="s">
        <v>2722</v>
      </c>
      <c r="T219" s="4" t="s">
        <v>144</v>
      </c>
      <c r="U219" s="4" t="s">
        <v>69</v>
      </c>
      <c r="V219" s="4"/>
      <c r="W219" s="4" t="s">
        <v>2723</v>
      </c>
      <c r="X219" s="4" t="s">
        <v>2164</v>
      </c>
      <c r="Y219" s="4" t="s">
        <v>214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8"/>
    <col collapsed="false" customWidth="true" hidden="false" outlineLevel="0" max="3" min="3" style="0" width="45"/>
    <col collapsed="false" customWidth="true" hidden="false" outlineLevel="0" max="4" min="4" style="0" width="9"/>
    <col collapsed="false" customWidth="true" hidden="false" outlineLevel="0" max="5" min="5" style="0" width="22"/>
    <col collapsed="false" customWidth="true" hidden="false" outlineLevel="0" max="6" min="6" style="0" width="28"/>
    <col collapsed="false" customWidth="true" hidden="false" outlineLevel="0" max="7" min="7" style="0" width="45"/>
    <col collapsed="false" customWidth="true" hidden="false" outlineLevel="0" max="8" min="8" style="0" width="9"/>
    <col collapsed="false" customWidth="true" hidden="false" outlineLevel="0" max="9" min="9" style="0" width="12"/>
    <col collapsed="false" customWidth="true" hidden="false" outlineLevel="0" max="10" min="10" style="0" width="45"/>
    <col collapsed="false" customWidth="true" hidden="false" outlineLevel="0" max="11" min="11" style="0" width="30"/>
    <col collapsed="false" customWidth="true" hidden="false" outlineLevel="0" max="12" min="12" style="0" width="9"/>
    <col collapsed="false" customWidth="true" hidden="false" outlineLevel="0" max="13" min="13" style="0" width="45"/>
    <col collapsed="false" customWidth="true" hidden="false" outlineLevel="0" max="15" min="14" style="0" width="35"/>
    <col collapsed="false" customWidth="true" hidden="false" outlineLevel="0" max="17" min="16" style="0" width="7"/>
    <col collapsed="false" customWidth="true" hidden="false" outlineLevel="0" max="18" min="18" style="0" width="22"/>
    <col collapsed="false" customWidth="true" hidden="false" outlineLevel="0" max="21" min="19" style="0" width="45"/>
    <col collapsed="false" customWidth="true" hidden="false" outlineLevel="0" max="22" min="22" style="0" width="30"/>
    <col collapsed="false" customWidth="true" hidden="false" outlineLevel="0" max="24" min="23" style="0" width="35"/>
    <col collapsed="false" customWidth="true" hidden="false" outlineLevel="0" max="25" min="25" style="0" width="16"/>
  </cols>
  <sheetData>
    <row r="1" customFormat="false" ht="35.05" hidden="false" customHeight="false" outlineLevel="0" collapsed="false">
      <c r="A1" s="3" t="s">
        <v>33</v>
      </c>
      <c r="B1" s="3" t="s">
        <v>34</v>
      </c>
      <c r="C1" s="3" t="s">
        <v>35</v>
      </c>
      <c r="D1" s="3" t="s">
        <v>36</v>
      </c>
      <c r="E1" s="3" t="s">
        <v>37</v>
      </c>
      <c r="F1" s="3" t="s">
        <v>38</v>
      </c>
      <c r="G1" s="3" t="s">
        <v>39</v>
      </c>
      <c r="H1" s="3" t="s">
        <v>40</v>
      </c>
      <c r="I1" s="3" t="s">
        <v>41</v>
      </c>
      <c r="J1" s="3" t="s">
        <v>42</v>
      </c>
      <c r="K1" s="3" t="s">
        <v>43</v>
      </c>
      <c r="L1" s="3" t="s">
        <v>44</v>
      </c>
      <c r="M1" s="3" t="s">
        <v>45</v>
      </c>
      <c r="N1" s="3" t="s">
        <v>46</v>
      </c>
      <c r="O1" s="3" t="s">
        <v>47</v>
      </c>
      <c r="P1" s="3" t="s">
        <v>48</v>
      </c>
      <c r="Q1" s="3" t="s">
        <v>49</v>
      </c>
      <c r="R1" s="3" t="s">
        <v>50</v>
      </c>
      <c r="S1" s="3" t="s">
        <v>51</v>
      </c>
      <c r="T1" s="3" t="s">
        <v>52</v>
      </c>
      <c r="U1" s="3" t="s">
        <v>53</v>
      </c>
      <c r="V1" s="3" t="s">
        <v>54</v>
      </c>
      <c r="W1" s="3" t="s">
        <v>55</v>
      </c>
      <c r="X1" s="3" t="s">
        <v>2724</v>
      </c>
      <c r="Y1" s="3" t="s">
        <v>56</v>
      </c>
    </row>
    <row r="2" customFormat="false" ht="46.25" hidden="false" customHeight="false" outlineLevel="0" collapsed="false">
      <c r="A2" s="4" t="s">
        <v>2725</v>
      </c>
      <c r="B2" s="4" t="s">
        <v>2726</v>
      </c>
      <c r="C2" s="4" t="s">
        <v>2727</v>
      </c>
      <c r="D2" s="4" t="s">
        <v>61</v>
      </c>
      <c r="E2" s="4" t="s">
        <v>62</v>
      </c>
      <c r="F2" s="4" t="s">
        <v>2728</v>
      </c>
      <c r="G2" s="4" t="s">
        <v>2729</v>
      </c>
      <c r="H2" s="4" t="s">
        <v>61</v>
      </c>
      <c r="I2" s="4" t="s">
        <v>128</v>
      </c>
      <c r="J2" s="4" t="s">
        <v>2730</v>
      </c>
      <c r="K2" s="4" t="s">
        <v>2731</v>
      </c>
      <c r="L2" s="5" t="s">
        <v>85</v>
      </c>
      <c r="M2" s="4" t="s">
        <v>85</v>
      </c>
      <c r="N2" s="4" t="s">
        <v>2732</v>
      </c>
      <c r="O2" s="4" t="s">
        <v>2733</v>
      </c>
      <c r="P2" s="4" t="s">
        <v>72</v>
      </c>
      <c r="Q2" s="4" t="s">
        <v>73</v>
      </c>
      <c r="R2" s="4" t="s">
        <v>74</v>
      </c>
      <c r="S2" s="4" t="s">
        <v>660</v>
      </c>
      <c r="T2" s="4" t="s">
        <v>2734</v>
      </c>
      <c r="U2" s="4" t="s">
        <v>2735</v>
      </c>
      <c r="V2" s="4"/>
      <c r="W2" s="4" t="s">
        <v>61</v>
      </c>
      <c r="X2" s="4"/>
      <c r="Y2" s="4" t="s">
        <v>109</v>
      </c>
    </row>
    <row r="3" customFormat="false" ht="35.05" hidden="false" customHeight="false" outlineLevel="0" collapsed="false">
      <c r="A3" s="4" t="s">
        <v>2736</v>
      </c>
      <c r="B3" s="4" t="s">
        <v>2737</v>
      </c>
      <c r="C3" s="4" t="s">
        <v>2738</v>
      </c>
      <c r="D3" s="4" t="s">
        <v>61</v>
      </c>
      <c r="E3" s="4" t="s">
        <v>218</v>
      </c>
      <c r="F3" s="4" t="s">
        <v>2739</v>
      </c>
      <c r="G3" s="4" t="s">
        <v>2740</v>
      </c>
      <c r="H3" s="4" t="s">
        <v>65</v>
      </c>
      <c r="I3" s="4" t="s">
        <v>128</v>
      </c>
      <c r="J3" s="4" t="s">
        <v>2741</v>
      </c>
      <c r="K3" s="4" t="s">
        <v>2742</v>
      </c>
      <c r="L3" s="4" t="s">
        <v>69</v>
      </c>
      <c r="M3" s="4" t="s">
        <v>69</v>
      </c>
      <c r="N3" s="4" t="s">
        <v>85</v>
      </c>
      <c r="O3" s="4" t="s">
        <v>2743</v>
      </c>
      <c r="P3" s="4" t="s">
        <v>72</v>
      </c>
      <c r="Q3" s="4" t="s">
        <v>73</v>
      </c>
      <c r="R3" s="4" t="s">
        <v>74</v>
      </c>
      <c r="S3" s="4" t="s">
        <v>2744</v>
      </c>
      <c r="T3" s="4" t="s">
        <v>2745</v>
      </c>
      <c r="U3" s="4" t="s">
        <v>2746</v>
      </c>
      <c r="V3" s="4"/>
      <c r="W3" s="4" t="s">
        <v>253</v>
      </c>
      <c r="X3" s="4"/>
      <c r="Y3" s="4" t="s">
        <v>226</v>
      </c>
    </row>
    <row r="4" customFormat="false" ht="46.25" hidden="false" customHeight="false" outlineLevel="0" collapsed="false">
      <c r="A4" s="4" t="s">
        <v>2747</v>
      </c>
      <c r="B4" s="4" t="s">
        <v>2748</v>
      </c>
      <c r="C4" s="4" t="s">
        <v>2749</v>
      </c>
      <c r="D4" s="4" t="s">
        <v>61</v>
      </c>
      <c r="E4" s="4" t="s">
        <v>218</v>
      </c>
      <c r="F4" s="4" t="s">
        <v>2750</v>
      </c>
      <c r="G4" s="4" t="s">
        <v>2751</v>
      </c>
      <c r="H4" s="4" t="s">
        <v>61</v>
      </c>
      <c r="I4" s="4" t="s">
        <v>97</v>
      </c>
      <c r="J4" s="4" t="s">
        <v>2752</v>
      </c>
      <c r="K4" s="4" t="s">
        <v>2753</v>
      </c>
      <c r="L4" s="5" t="s">
        <v>85</v>
      </c>
      <c r="M4" s="4" t="s">
        <v>85</v>
      </c>
      <c r="N4" s="4" t="s">
        <v>2754</v>
      </c>
      <c r="O4" s="4" t="s">
        <v>2755</v>
      </c>
      <c r="P4" s="4" t="s">
        <v>72</v>
      </c>
      <c r="Q4" s="4" t="s">
        <v>316</v>
      </c>
      <c r="R4" s="4" t="s">
        <v>74</v>
      </c>
      <c r="S4" s="4" t="s">
        <v>2756</v>
      </c>
      <c r="T4" s="4" t="s">
        <v>2757</v>
      </c>
      <c r="U4" s="4" t="s">
        <v>2758</v>
      </c>
      <c r="V4" s="4"/>
      <c r="W4" s="4" t="s">
        <v>61</v>
      </c>
      <c r="X4" s="4"/>
      <c r="Y4" s="4" t="s">
        <v>226</v>
      </c>
    </row>
    <row r="5" customFormat="false" ht="35.05" hidden="false" customHeight="false" outlineLevel="0" collapsed="false">
      <c r="A5" s="4" t="s">
        <v>2759</v>
      </c>
      <c r="B5" s="4" t="s">
        <v>2760</v>
      </c>
      <c r="C5" s="4" t="s">
        <v>2761</v>
      </c>
      <c r="D5" s="4" t="s">
        <v>61</v>
      </c>
      <c r="E5" s="4" t="s">
        <v>218</v>
      </c>
      <c r="F5" s="4" t="s">
        <v>2762</v>
      </c>
      <c r="G5" s="4" t="s">
        <v>2763</v>
      </c>
      <c r="H5" s="4" t="s">
        <v>65</v>
      </c>
      <c r="I5" s="4" t="s">
        <v>2764</v>
      </c>
      <c r="J5" s="4" t="s">
        <v>2764</v>
      </c>
      <c r="K5" s="4" t="s">
        <v>85</v>
      </c>
      <c r="L5" s="5" t="s">
        <v>85</v>
      </c>
      <c r="M5" s="4" t="s">
        <v>85</v>
      </c>
      <c r="N5" s="4" t="s">
        <v>2765</v>
      </c>
      <c r="O5" s="4" t="s">
        <v>2743</v>
      </c>
      <c r="P5" s="4" t="s">
        <v>72</v>
      </c>
      <c r="Q5" s="4" t="s">
        <v>73</v>
      </c>
      <c r="R5" s="4" t="s">
        <v>74</v>
      </c>
      <c r="S5" s="4" t="s">
        <v>660</v>
      </c>
      <c r="T5" s="4" t="s">
        <v>2766</v>
      </c>
      <c r="U5" s="4" t="s">
        <v>69</v>
      </c>
      <c r="V5" s="4"/>
      <c r="W5" s="4" t="s">
        <v>2767</v>
      </c>
      <c r="X5" s="4" t="s">
        <v>2768</v>
      </c>
      <c r="Y5" s="4" t="s">
        <v>226</v>
      </c>
    </row>
    <row r="6" customFormat="false" ht="46.25" hidden="false" customHeight="false" outlineLevel="0" collapsed="false">
      <c r="A6" s="4" t="s">
        <v>2769</v>
      </c>
      <c r="B6" s="4" t="s">
        <v>2770</v>
      </c>
      <c r="C6" s="4" t="s">
        <v>2771</v>
      </c>
      <c r="D6" s="4" t="s">
        <v>61</v>
      </c>
      <c r="E6" s="4" t="s">
        <v>218</v>
      </c>
      <c r="F6" s="4" t="s">
        <v>2772</v>
      </c>
      <c r="G6" s="4" t="s">
        <v>2773</v>
      </c>
      <c r="H6" s="4" t="s">
        <v>65</v>
      </c>
      <c r="I6" s="4" t="s">
        <v>66</v>
      </c>
      <c r="J6" s="4" t="s">
        <v>2774</v>
      </c>
      <c r="K6" s="4" t="s">
        <v>2775</v>
      </c>
      <c r="L6" s="6" t="s">
        <v>221</v>
      </c>
      <c r="M6" s="4" t="s">
        <v>2776</v>
      </c>
      <c r="N6" s="4" t="s">
        <v>85</v>
      </c>
      <c r="O6" s="4" t="s">
        <v>2777</v>
      </c>
      <c r="P6" s="4" t="s">
        <v>103</v>
      </c>
      <c r="Q6" s="4" t="s">
        <v>316</v>
      </c>
      <c r="R6" s="4" t="s">
        <v>2778</v>
      </c>
      <c r="S6" s="4" t="s">
        <v>2779</v>
      </c>
      <c r="T6" s="4" t="s">
        <v>144</v>
      </c>
      <c r="U6" s="4" t="s">
        <v>2780</v>
      </c>
      <c r="V6" s="4"/>
      <c r="W6" s="4" t="s">
        <v>2781</v>
      </c>
      <c r="X6" s="4"/>
      <c r="Y6" s="4" t="s">
        <v>226</v>
      </c>
    </row>
    <row r="7" customFormat="false" ht="35.05" hidden="false" customHeight="false" outlineLevel="0" collapsed="false">
      <c r="A7" s="4" t="s">
        <v>2782</v>
      </c>
      <c r="B7" s="4" t="s">
        <v>2783</v>
      </c>
      <c r="C7" s="4" t="s">
        <v>2784</v>
      </c>
      <c r="D7" s="4" t="s">
        <v>61</v>
      </c>
      <c r="E7" s="4" t="s">
        <v>218</v>
      </c>
      <c r="F7" s="4" t="s">
        <v>2785</v>
      </c>
      <c r="G7" s="4" t="s">
        <v>2786</v>
      </c>
      <c r="H7" s="4" t="s">
        <v>65</v>
      </c>
      <c r="I7" s="4" t="s">
        <v>128</v>
      </c>
      <c r="J7" s="4" t="s">
        <v>2787</v>
      </c>
      <c r="K7" s="4" t="s">
        <v>2788</v>
      </c>
      <c r="L7" s="7" t="s">
        <v>261</v>
      </c>
      <c r="M7" s="4" t="s">
        <v>2789</v>
      </c>
      <c r="N7" s="4" t="s">
        <v>85</v>
      </c>
      <c r="O7" s="4" t="s">
        <v>2790</v>
      </c>
      <c r="P7" s="4" t="s">
        <v>72</v>
      </c>
      <c r="Q7" s="4" t="s">
        <v>316</v>
      </c>
      <c r="R7" s="4" t="s">
        <v>74</v>
      </c>
      <c r="S7" s="4" t="s">
        <v>2791</v>
      </c>
      <c r="T7" s="4" t="s">
        <v>2792</v>
      </c>
      <c r="U7" s="4" t="s">
        <v>2793</v>
      </c>
      <c r="V7" s="4"/>
      <c r="W7" s="4" t="s">
        <v>253</v>
      </c>
      <c r="X7" s="4"/>
      <c r="Y7" s="4" t="s">
        <v>226</v>
      </c>
    </row>
    <row r="8" customFormat="false" ht="35.05" hidden="false" customHeight="false" outlineLevel="0" collapsed="false">
      <c r="A8" s="4" t="s">
        <v>2794</v>
      </c>
      <c r="B8" s="4" t="s">
        <v>2795</v>
      </c>
      <c r="C8" s="4" t="s">
        <v>2796</v>
      </c>
      <c r="D8" s="4" t="s">
        <v>61</v>
      </c>
      <c r="E8" s="4" t="s">
        <v>218</v>
      </c>
      <c r="F8" s="4" t="s">
        <v>2797</v>
      </c>
      <c r="G8" s="4" t="s">
        <v>2786</v>
      </c>
      <c r="H8" s="4" t="s">
        <v>65</v>
      </c>
      <c r="I8" s="4" t="s">
        <v>128</v>
      </c>
      <c r="J8" s="4" t="s">
        <v>2798</v>
      </c>
      <c r="K8" s="4" t="s">
        <v>2788</v>
      </c>
      <c r="L8" s="7" t="s">
        <v>261</v>
      </c>
      <c r="M8" s="4" t="s">
        <v>2799</v>
      </c>
      <c r="N8" s="4" t="s">
        <v>85</v>
      </c>
      <c r="O8" s="4" t="s">
        <v>2800</v>
      </c>
      <c r="P8" s="4" t="s">
        <v>72</v>
      </c>
      <c r="Q8" s="4" t="s">
        <v>73</v>
      </c>
      <c r="R8" s="4" t="s">
        <v>74</v>
      </c>
      <c r="S8" s="4" t="s">
        <v>2801</v>
      </c>
      <c r="T8" s="4" t="s">
        <v>2802</v>
      </c>
      <c r="U8" s="4" t="s">
        <v>2803</v>
      </c>
      <c r="V8" s="4"/>
      <c r="W8" s="4" t="s">
        <v>2804</v>
      </c>
      <c r="X8" s="4" t="s">
        <v>2805</v>
      </c>
      <c r="Y8" s="4" t="s">
        <v>226</v>
      </c>
    </row>
    <row r="9" customFormat="false" ht="68.65" hidden="false" customHeight="false" outlineLevel="0" collapsed="false">
      <c r="A9" s="4" t="s">
        <v>2806</v>
      </c>
      <c r="B9" s="4" t="s">
        <v>2807</v>
      </c>
      <c r="C9" s="4" t="s">
        <v>2808</v>
      </c>
      <c r="D9" s="4" t="s">
        <v>61</v>
      </c>
      <c r="E9" s="4" t="s">
        <v>637</v>
      </c>
      <c r="F9" s="4" t="s">
        <v>2809</v>
      </c>
      <c r="G9" s="4" t="s">
        <v>2810</v>
      </c>
      <c r="H9" s="4" t="s">
        <v>61</v>
      </c>
      <c r="I9" s="4" t="s">
        <v>66</v>
      </c>
      <c r="J9" s="4" t="s">
        <v>2811</v>
      </c>
      <c r="K9" s="4" t="s">
        <v>2812</v>
      </c>
      <c r="L9" s="6" t="s">
        <v>221</v>
      </c>
      <c r="M9" s="4" t="s">
        <v>2813</v>
      </c>
      <c r="N9" s="4" t="s">
        <v>2765</v>
      </c>
      <c r="O9" s="4" t="s">
        <v>2814</v>
      </c>
      <c r="P9" s="4" t="s">
        <v>72</v>
      </c>
      <c r="Q9" s="4" t="s">
        <v>73</v>
      </c>
      <c r="R9" s="4" t="s">
        <v>74</v>
      </c>
      <c r="S9" s="4" t="s">
        <v>660</v>
      </c>
      <c r="T9" s="4" t="s">
        <v>2766</v>
      </c>
      <c r="U9" s="4" t="s">
        <v>69</v>
      </c>
      <c r="V9" s="4"/>
      <c r="W9" s="4" t="s">
        <v>2815</v>
      </c>
      <c r="X9" s="4" t="s">
        <v>2816</v>
      </c>
      <c r="Y9" s="4" t="s">
        <v>747</v>
      </c>
    </row>
    <row r="10" customFormat="false" ht="68.65" hidden="false" customHeight="false" outlineLevel="0" collapsed="false">
      <c r="A10" s="4" t="s">
        <v>2817</v>
      </c>
      <c r="B10" s="4" t="s">
        <v>2818</v>
      </c>
      <c r="C10" s="4" t="s">
        <v>2819</v>
      </c>
      <c r="D10" s="4" t="s">
        <v>61</v>
      </c>
      <c r="E10" s="4" t="s">
        <v>800</v>
      </c>
      <c r="F10" s="4" t="s">
        <v>2820</v>
      </c>
      <c r="G10" s="4" t="s">
        <v>2821</v>
      </c>
      <c r="H10" s="4" t="s">
        <v>61</v>
      </c>
      <c r="I10" s="4" t="s">
        <v>66</v>
      </c>
      <c r="J10" s="4" t="s">
        <v>2822</v>
      </c>
      <c r="K10" s="4" t="s">
        <v>2823</v>
      </c>
      <c r="L10" s="6" t="s">
        <v>221</v>
      </c>
      <c r="M10" s="4" t="s">
        <v>2824</v>
      </c>
      <c r="N10" s="4" t="s">
        <v>2825</v>
      </c>
      <c r="O10" s="4" t="s">
        <v>2826</v>
      </c>
      <c r="P10" s="4" t="s">
        <v>72</v>
      </c>
      <c r="Q10" s="4" t="s">
        <v>74</v>
      </c>
      <c r="R10" s="4" t="s">
        <v>74</v>
      </c>
      <c r="S10" s="4" t="s">
        <v>2827</v>
      </c>
      <c r="T10" s="4" t="s">
        <v>2828</v>
      </c>
      <c r="U10" s="4" t="s">
        <v>2829</v>
      </c>
      <c r="V10" s="4" t="s">
        <v>2830</v>
      </c>
      <c r="W10" s="4" t="s">
        <v>2831</v>
      </c>
      <c r="X10" s="4"/>
      <c r="Y10" s="4" t="s">
        <v>350</v>
      </c>
    </row>
    <row r="11" customFormat="false" ht="46.25" hidden="false" customHeight="false" outlineLevel="0" collapsed="false">
      <c r="A11" s="4" t="s">
        <v>2832</v>
      </c>
      <c r="B11" s="4" t="s">
        <v>2833</v>
      </c>
      <c r="C11" s="4" t="s">
        <v>2834</v>
      </c>
      <c r="D11" s="4" t="s">
        <v>61</v>
      </c>
      <c r="E11" s="4" t="s">
        <v>800</v>
      </c>
      <c r="F11" s="4" t="s">
        <v>2835</v>
      </c>
      <c r="G11" s="4" t="s">
        <v>2836</v>
      </c>
      <c r="H11" s="4" t="s">
        <v>61</v>
      </c>
      <c r="I11" s="4" t="s">
        <v>97</v>
      </c>
      <c r="J11" s="4" t="s">
        <v>2837</v>
      </c>
      <c r="K11" s="4" t="s">
        <v>2838</v>
      </c>
      <c r="L11" s="5" t="s">
        <v>85</v>
      </c>
      <c r="M11" s="4" t="s">
        <v>2839</v>
      </c>
      <c r="N11" s="4" t="s">
        <v>2840</v>
      </c>
      <c r="O11" s="4" t="s">
        <v>2841</v>
      </c>
      <c r="P11" s="4" t="s">
        <v>72</v>
      </c>
      <c r="Q11" s="4" t="s">
        <v>73</v>
      </c>
      <c r="R11" s="4" t="s">
        <v>74</v>
      </c>
      <c r="S11" s="4" t="s">
        <v>2842</v>
      </c>
      <c r="T11" s="4" t="s">
        <v>2843</v>
      </c>
      <c r="U11" s="4" t="s">
        <v>2844</v>
      </c>
      <c r="V11" s="4"/>
      <c r="W11" s="4" t="s">
        <v>61</v>
      </c>
      <c r="X11" s="4"/>
      <c r="Y11" s="4" t="s">
        <v>350</v>
      </c>
    </row>
    <row r="12" customFormat="false" ht="35.05" hidden="false" customHeight="false" outlineLevel="0" collapsed="false">
      <c r="A12" s="4" t="s">
        <v>2845</v>
      </c>
      <c r="B12" s="4" t="s">
        <v>2846</v>
      </c>
      <c r="C12" s="4" t="s">
        <v>2847</v>
      </c>
      <c r="D12" s="4" t="s">
        <v>61</v>
      </c>
      <c r="E12" s="4" t="s">
        <v>800</v>
      </c>
      <c r="F12" s="4" t="s">
        <v>2848</v>
      </c>
      <c r="G12" s="4" t="s">
        <v>2849</v>
      </c>
      <c r="H12" s="4" t="s">
        <v>61</v>
      </c>
      <c r="I12" s="4" t="s">
        <v>66</v>
      </c>
      <c r="J12" s="4" t="s">
        <v>2850</v>
      </c>
      <c r="K12" s="4" t="s">
        <v>2851</v>
      </c>
      <c r="L12" s="5" t="s">
        <v>85</v>
      </c>
      <c r="M12" s="4" t="s">
        <v>2852</v>
      </c>
      <c r="N12" s="4" t="s">
        <v>85</v>
      </c>
      <c r="O12" s="4" t="s">
        <v>2777</v>
      </c>
      <c r="P12" s="4" t="s">
        <v>72</v>
      </c>
      <c r="Q12" s="4" t="s">
        <v>73</v>
      </c>
      <c r="R12" s="4" t="s">
        <v>74</v>
      </c>
      <c r="S12" s="4" t="s">
        <v>2853</v>
      </c>
      <c r="T12" s="4" t="s">
        <v>144</v>
      </c>
      <c r="U12" s="4" t="s">
        <v>2854</v>
      </c>
      <c r="V12" s="4"/>
      <c r="W12" s="4" t="s">
        <v>2855</v>
      </c>
      <c r="X12" s="4"/>
      <c r="Y12" s="4" t="s">
        <v>350</v>
      </c>
    </row>
    <row r="13" customFormat="false" ht="68.65" hidden="false" customHeight="false" outlineLevel="0" collapsed="false">
      <c r="A13" s="4" t="s">
        <v>2856</v>
      </c>
      <c r="B13" s="4" t="s">
        <v>2857</v>
      </c>
      <c r="C13" s="4" t="s">
        <v>2858</v>
      </c>
      <c r="D13" s="4" t="s">
        <v>61</v>
      </c>
      <c r="E13" s="4" t="s">
        <v>800</v>
      </c>
      <c r="F13" s="4" t="s">
        <v>2859</v>
      </c>
      <c r="G13" s="4" t="s">
        <v>2860</v>
      </c>
      <c r="H13" s="4" t="s">
        <v>65</v>
      </c>
      <c r="I13" s="4" t="s">
        <v>66</v>
      </c>
      <c r="J13" s="4" t="s">
        <v>2861</v>
      </c>
      <c r="K13" s="4" t="s">
        <v>2862</v>
      </c>
      <c r="L13" s="5" t="s">
        <v>85</v>
      </c>
      <c r="M13" s="4" t="s">
        <v>2863</v>
      </c>
      <c r="N13" s="4" t="s">
        <v>85</v>
      </c>
      <c r="O13" s="4" t="s">
        <v>2864</v>
      </c>
      <c r="P13" s="4" t="s">
        <v>72</v>
      </c>
      <c r="Q13" s="4" t="s">
        <v>73</v>
      </c>
      <c r="R13" s="4" t="s">
        <v>74</v>
      </c>
      <c r="S13" s="4" t="s">
        <v>2865</v>
      </c>
      <c r="T13" s="4" t="s">
        <v>2866</v>
      </c>
      <c r="U13" s="4" t="s">
        <v>2867</v>
      </c>
      <c r="V13" s="4"/>
      <c r="W13" s="4" t="s">
        <v>2868</v>
      </c>
      <c r="X13" s="4"/>
      <c r="Y13" s="4" t="s">
        <v>350</v>
      </c>
    </row>
    <row r="14" customFormat="false" ht="68.65" hidden="false" customHeight="false" outlineLevel="0" collapsed="false">
      <c r="A14" s="4" t="s">
        <v>2869</v>
      </c>
      <c r="B14" s="4" t="s">
        <v>2870</v>
      </c>
      <c r="C14" s="4" t="s">
        <v>2871</v>
      </c>
      <c r="D14" s="4" t="s">
        <v>61</v>
      </c>
      <c r="E14" s="4" t="s">
        <v>800</v>
      </c>
      <c r="F14" s="4" t="s">
        <v>890</v>
      </c>
      <c r="G14" s="4" t="s">
        <v>2872</v>
      </c>
      <c r="H14" s="4" t="s">
        <v>61</v>
      </c>
      <c r="I14" s="4" t="s">
        <v>97</v>
      </c>
      <c r="J14" s="4" t="s">
        <v>2873</v>
      </c>
      <c r="K14" s="4" t="s">
        <v>2874</v>
      </c>
      <c r="L14" s="6" t="s">
        <v>221</v>
      </c>
      <c r="M14" s="4" t="s">
        <v>2875</v>
      </c>
      <c r="N14" s="4" t="s">
        <v>2876</v>
      </c>
      <c r="O14" s="4" t="s">
        <v>2877</v>
      </c>
      <c r="P14" s="4" t="s">
        <v>103</v>
      </c>
      <c r="Q14" s="4" t="s">
        <v>74</v>
      </c>
      <c r="R14" s="4" t="s">
        <v>2878</v>
      </c>
      <c r="S14" s="4" t="s">
        <v>2879</v>
      </c>
      <c r="T14" s="4" t="s">
        <v>2880</v>
      </c>
      <c r="U14" s="4" t="s">
        <v>2881</v>
      </c>
      <c r="V14" s="4"/>
      <c r="W14" s="4" t="s">
        <v>2882</v>
      </c>
      <c r="X14" s="4"/>
      <c r="Y14" s="4" t="s">
        <v>350</v>
      </c>
    </row>
    <row r="15" customFormat="false" ht="57.45" hidden="false" customHeight="false" outlineLevel="0" collapsed="false">
      <c r="A15" s="4" t="s">
        <v>2883</v>
      </c>
      <c r="B15" s="4" t="s">
        <v>2884</v>
      </c>
      <c r="C15" s="4" t="s">
        <v>2885</v>
      </c>
      <c r="D15" s="4" t="s">
        <v>61</v>
      </c>
      <c r="E15" s="4" t="s">
        <v>800</v>
      </c>
      <c r="F15" s="4" t="s">
        <v>2886</v>
      </c>
      <c r="G15" s="4" t="s">
        <v>2887</v>
      </c>
      <c r="H15" s="4" t="s">
        <v>61</v>
      </c>
      <c r="I15" s="4" t="s">
        <v>66</v>
      </c>
      <c r="J15" s="4" t="s">
        <v>2888</v>
      </c>
      <c r="K15" s="4" t="s">
        <v>2889</v>
      </c>
      <c r="L15" s="5" t="s">
        <v>85</v>
      </c>
      <c r="M15" s="4" t="s">
        <v>2890</v>
      </c>
      <c r="N15" s="4" t="s">
        <v>85</v>
      </c>
      <c r="O15" s="4" t="s">
        <v>2891</v>
      </c>
      <c r="P15" s="4" t="s">
        <v>72</v>
      </c>
      <c r="Q15" s="4" t="s">
        <v>316</v>
      </c>
      <c r="R15" s="4" t="s">
        <v>74</v>
      </c>
      <c r="S15" s="4" t="s">
        <v>2892</v>
      </c>
      <c r="T15" s="4" t="s">
        <v>2893</v>
      </c>
      <c r="U15" s="4" t="s">
        <v>2894</v>
      </c>
      <c r="V15" s="4"/>
      <c r="W15" s="4" t="s">
        <v>61</v>
      </c>
      <c r="X15" s="4"/>
      <c r="Y15" s="4" t="s">
        <v>350</v>
      </c>
    </row>
    <row r="16" customFormat="false" ht="57.45" hidden="false" customHeight="false" outlineLevel="0" collapsed="false">
      <c r="A16" s="4" t="s">
        <v>2895</v>
      </c>
      <c r="B16" s="4" t="s">
        <v>2896</v>
      </c>
      <c r="C16" s="4" t="s">
        <v>2897</v>
      </c>
      <c r="D16" s="4" t="s">
        <v>61</v>
      </c>
      <c r="E16" s="4" t="s">
        <v>800</v>
      </c>
      <c r="F16" s="4" t="s">
        <v>2898</v>
      </c>
      <c r="G16" s="4" t="s">
        <v>2899</v>
      </c>
      <c r="H16" s="4" t="s">
        <v>61</v>
      </c>
      <c r="I16" s="4" t="s">
        <v>66</v>
      </c>
      <c r="J16" s="4" t="s">
        <v>2900</v>
      </c>
      <c r="K16" s="4" t="s">
        <v>85</v>
      </c>
      <c r="L16" s="5" t="s">
        <v>85</v>
      </c>
      <c r="M16" s="4" t="s">
        <v>85</v>
      </c>
      <c r="N16" s="4" t="s">
        <v>85</v>
      </c>
      <c r="O16" s="4" t="s">
        <v>2826</v>
      </c>
      <c r="P16" s="4" t="s">
        <v>72</v>
      </c>
      <c r="Q16" s="4" t="s">
        <v>316</v>
      </c>
      <c r="R16" s="4" t="s">
        <v>74</v>
      </c>
      <c r="S16" s="4" t="s">
        <v>2901</v>
      </c>
      <c r="T16" s="4" t="s">
        <v>144</v>
      </c>
      <c r="U16" s="4" t="s">
        <v>2902</v>
      </c>
      <c r="V16" s="4" t="s">
        <v>2903</v>
      </c>
      <c r="W16" s="4" t="s">
        <v>61</v>
      </c>
      <c r="X16" s="4"/>
      <c r="Y16" s="4" t="s">
        <v>350</v>
      </c>
    </row>
    <row r="17" customFormat="false" ht="46.25" hidden="false" customHeight="false" outlineLevel="0" collapsed="false">
      <c r="A17" s="4" t="s">
        <v>2904</v>
      </c>
      <c r="B17" s="4" t="s">
        <v>2905</v>
      </c>
      <c r="C17" s="4" t="s">
        <v>2906</v>
      </c>
      <c r="D17" s="4" t="s">
        <v>61</v>
      </c>
      <c r="E17" s="4" t="s">
        <v>800</v>
      </c>
      <c r="F17" s="4" t="s">
        <v>2907</v>
      </c>
      <c r="G17" s="4" t="s">
        <v>2908</v>
      </c>
      <c r="H17" s="4" t="s">
        <v>61</v>
      </c>
      <c r="I17" s="4" t="s">
        <v>66</v>
      </c>
      <c r="J17" s="4" t="s">
        <v>2909</v>
      </c>
      <c r="K17" s="4" t="s">
        <v>2910</v>
      </c>
      <c r="L17" s="5" t="s">
        <v>85</v>
      </c>
      <c r="M17" s="4" t="s">
        <v>85</v>
      </c>
      <c r="N17" s="4" t="s">
        <v>85</v>
      </c>
      <c r="O17" s="4" t="s">
        <v>2826</v>
      </c>
      <c r="P17" s="4" t="s">
        <v>72</v>
      </c>
      <c r="Q17" s="4" t="s">
        <v>73</v>
      </c>
      <c r="R17" s="4" t="s">
        <v>74</v>
      </c>
      <c r="S17" s="4" t="s">
        <v>2911</v>
      </c>
      <c r="T17" s="4" t="s">
        <v>144</v>
      </c>
      <c r="U17" s="4" t="s">
        <v>2912</v>
      </c>
      <c r="V17" s="4"/>
      <c r="W17" s="4" t="s">
        <v>61</v>
      </c>
      <c r="X17" s="4"/>
      <c r="Y17" s="4" t="s">
        <v>350</v>
      </c>
    </row>
    <row r="18" customFormat="false" ht="57.45" hidden="false" customHeight="false" outlineLevel="0" collapsed="false">
      <c r="A18" s="4" t="s">
        <v>2913</v>
      </c>
      <c r="B18" s="4" t="s">
        <v>2914</v>
      </c>
      <c r="C18" s="4" t="s">
        <v>2915</v>
      </c>
      <c r="D18" s="4" t="s">
        <v>61</v>
      </c>
      <c r="E18" s="4" t="s">
        <v>916</v>
      </c>
      <c r="F18" s="4" t="s">
        <v>2916</v>
      </c>
      <c r="G18" s="4" t="s">
        <v>2917</v>
      </c>
      <c r="H18" s="4" t="s">
        <v>65</v>
      </c>
      <c r="I18" s="4" t="s">
        <v>128</v>
      </c>
      <c r="J18" s="4" t="s">
        <v>2918</v>
      </c>
      <c r="K18" s="4" t="s">
        <v>2788</v>
      </c>
      <c r="L18" s="5" t="s">
        <v>85</v>
      </c>
      <c r="M18" s="4" t="s">
        <v>2919</v>
      </c>
      <c r="N18" s="4" t="s">
        <v>2920</v>
      </c>
      <c r="O18" s="4" t="s">
        <v>2921</v>
      </c>
      <c r="P18" s="4" t="s">
        <v>72</v>
      </c>
      <c r="Q18" s="4" t="s">
        <v>316</v>
      </c>
      <c r="R18" s="4" t="s">
        <v>74</v>
      </c>
      <c r="S18" s="4" t="s">
        <v>2922</v>
      </c>
      <c r="T18" s="4" t="s">
        <v>2923</v>
      </c>
      <c r="U18" s="4" t="s">
        <v>2924</v>
      </c>
      <c r="V18" s="4"/>
      <c r="W18" s="4" t="s">
        <v>253</v>
      </c>
      <c r="X18" s="4" t="s">
        <v>2925</v>
      </c>
      <c r="Y18" s="4" t="s">
        <v>226</v>
      </c>
    </row>
    <row r="19" customFormat="false" ht="46.25" hidden="false" customHeight="false" outlineLevel="0" collapsed="false">
      <c r="A19" s="4" t="s">
        <v>2926</v>
      </c>
      <c r="B19" s="4" t="s">
        <v>2927</v>
      </c>
      <c r="C19" s="4" t="s">
        <v>2928</v>
      </c>
      <c r="D19" s="4" t="s">
        <v>61</v>
      </c>
      <c r="E19" s="4" t="s">
        <v>916</v>
      </c>
      <c r="F19" s="4" t="s">
        <v>2929</v>
      </c>
      <c r="G19" s="4" t="s">
        <v>2930</v>
      </c>
      <c r="H19" s="4" t="s">
        <v>61</v>
      </c>
      <c r="I19" s="4" t="s">
        <v>66</v>
      </c>
      <c r="J19" s="4" t="s">
        <v>2931</v>
      </c>
      <c r="K19" s="4" t="s">
        <v>85</v>
      </c>
      <c r="L19" s="6" t="s">
        <v>221</v>
      </c>
      <c r="M19" s="4" t="s">
        <v>2932</v>
      </c>
      <c r="N19" s="4" t="s">
        <v>2933</v>
      </c>
      <c r="O19" s="4" t="s">
        <v>2934</v>
      </c>
      <c r="P19" s="4" t="s">
        <v>72</v>
      </c>
      <c r="Q19" s="4" t="s">
        <v>316</v>
      </c>
      <c r="R19" s="4" t="s">
        <v>2935</v>
      </c>
      <c r="S19" s="4" t="s">
        <v>2936</v>
      </c>
      <c r="T19" s="4" t="s">
        <v>2937</v>
      </c>
      <c r="U19" s="4" t="s">
        <v>2938</v>
      </c>
      <c r="V19" s="4"/>
      <c r="W19" s="4" t="s">
        <v>2939</v>
      </c>
      <c r="X19" s="4" t="s">
        <v>2940</v>
      </c>
      <c r="Y19" s="4" t="s">
        <v>77</v>
      </c>
    </row>
    <row r="20" customFormat="false" ht="57.45" hidden="false" customHeight="false" outlineLevel="0" collapsed="false">
      <c r="A20" s="4" t="s">
        <v>2941</v>
      </c>
      <c r="B20" s="4" t="s">
        <v>2942</v>
      </c>
      <c r="C20" s="4" t="s">
        <v>2943</v>
      </c>
      <c r="D20" s="4" t="s">
        <v>61</v>
      </c>
      <c r="E20" s="4" t="s">
        <v>916</v>
      </c>
      <c r="F20" s="4" t="s">
        <v>2944</v>
      </c>
      <c r="G20" s="4" t="s">
        <v>2945</v>
      </c>
      <c r="H20" s="4" t="s">
        <v>65</v>
      </c>
      <c r="I20" s="4" t="s">
        <v>66</v>
      </c>
      <c r="J20" s="4" t="s">
        <v>2946</v>
      </c>
      <c r="K20" s="4" t="s">
        <v>2947</v>
      </c>
      <c r="L20" s="6" t="s">
        <v>221</v>
      </c>
      <c r="M20" s="4" t="s">
        <v>2948</v>
      </c>
      <c r="N20" s="4" t="s">
        <v>2949</v>
      </c>
      <c r="O20" s="4" t="s">
        <v>2950</v>
      </c>
      <c r="P20" s="4" t="s">
        <v>72</v>
      </c>
      <c r="Q20" s="4" t="s">
        <v>316</v>
      </c>
      <c r="R20" s="4" t="s">
        <v>74</v>
      </c>
      <c r="S20" s="4" t="s">
        <v>2951</v>
      </c>
      <c r="T20" s="4" t="s">
        <v>2952</v>
      </c>
      <c r="U20" s="4" t="s">
        <v>2953</v>
      </c>
      <c r="V20" s="4" t="s">
        <v>2954</v>
      </c>
      <c r="W20" s="4" t="s">
        <v>2955</v>
      </c>
      <c r="X20" s="4" t="s">
        <v>2956</v>
      </c>
      <c r="Y20" s="4" t="s">
        <v>77</v>
      </c>
    </row>
    <row r="21" customFormat="false" ht="35.05" hidden="false" customHeight="false" outlineLevel="0" collapsed="false">
      <c r="A21" s="4" t="s">
        <v>2957</v>
      </c>
      <c r="B21" s="4" t="s">
        <v>2958</v>
      </c>
      <c r="C21" s="4" t="s">
        <v>2959</v>
      </c>
      <c r="D21" s="4" t="s">
        <v>61</v>
      </c>
      <c r="E21" s="4" t="s">
        <v>1012</v>
      </c>
      <c r="F21" s="4" t="s">
        <v>2960</v>
      </c>
      <c r="G21" s="4" t="s">
        <v>2961</v>
      </c>
      <c r="H21" s="4" t="s">
        <v>61</v>
      </c>
      <c r="I21" s="4" t="s">
        <v>128</v>
      </c>
      <c r="J21" s="4" t="s">
        <v>2962</v>
      </c>
      <c r="K21" s="4" t="s">
        <v>2963</v>
      </c>
      <c r="L21" s="5" t="s">
        <v>85</v>
      </c>
      <c r="M21" s="4" t="s">
        <v>85</v>
      </c>
      <c r="N21" s="4" t="s">
        <v>85</v>
      </c>
      <c r="O21" s="4" t="s">
        <v>2964</v>
      </c>
      <c r="P21" s="4" t="s">
        <v>72</v>
      </c>
      <c r="Q21" s="4" t="s">
        <v>316</v>
      </c>
      <c r="R21" s="4" t="s">
        <v>316</v>
      </c>
      <c r="S21" s="4" t="s">
        <v>2965</v>
      </c>
      <c r="T21" s="4" t="s">
        <v>2966</v>
      </c>
      <c r="U21" s="4" t="s">
        <v>2967</v>
      </c>
      <c r="V21" s="4"/>
      <c r="W21" s="4" t="s">
        <v>2968</v>
      </c>
      <c r="X21" s="4"/>
      <c r="Y21" s="4" t="s">
        <v>1022</v>
      </c>
    </row>
    <row r="22" customFormat="false" ht="68.65" hidden="false" customHeight="false" outlineLevel="0" collapsed="false">
      <c r="A22" s="4" t="s">
        <v>2969</v>
      </c>
      <c r="B22" s="4" t="s">
        <v>2970</v>
      </c>
      <c r="C22" s="4" t="s">
        <v>2971</v>
      </c>
      <c r="D22" s="4" t="s">
        <v>61</v>
      </c>
      <c r="E22" s="4" t="s">
        <v>1012</v>
      </c>
      <c r="F22" s="4" t="s">
        <v>2972</v>
      </c>
      <c r="G22" s="4" t="s">
        <v>2973</v>
      </c>
      <c r="H22" s="4" t="s">
        <v>65</v>
      </c>
      <c r="I22" s="4" t="s">
        <v>97</v>
      </c>
      <c r="J22" s="4" t="s">
        <v>2974</v>
      </c>
      <c r="K22" s="4" t="s">
        <v>2975</v>
      </c>
      <c r="L22" s="5" t="s">
        <v>85</v>
      </c>
      <c r="M22" s="4" t="s">
        <v>85</v>
      </c>
      <c r="N22" s="4" t="s">
        <v>85</v>
      </c>
      <c r="O22" s="4" t="s">
        <v>2976</v>
      </c>
      <c r="P22" s="4" t="s">
        <v>72</v>
      </c>
      <c r="Q22" s="4" t="s">
        <v>316</v>
      </c>
      <c r="R22" s="4" t="s">
        <v>74</v>
      </c>
      <c r="S22" s="4" t="s">
        <v>2977</v>
      </c>
      <c r="T22" s="4" t="s">
        <v>2978</v>
      </c>
      <c r="U22" s="4" t="s">
        <v>2979</v>
      </c>
      <c r="V22" s="4"/>
      <c r="W22" s="4" t="s">
        <v>2980</v>
      </c>
      <c r="X22" s="4"/>
      <c r="Y22" s="4" t="s">
        <v>226</v>
      </c>
    </row>
    <row r="23" customFormat="false" ht="46.25" hidden="false" customHeight="false" outlineLevel="0" collapsed="false">
      <c r="A23" s="4" t="s">
        <v>2981</v>
      </c>
      <c r="B23" s="4" t="s">
        <v>2982</v>
      </c>
      <c r="C23" s="4" t="s">
        <v>2983</v>
      </c>
      <c r="D23" s="4" t="s">
        <v>61</v>
      </c>
      <c r="E23" s="4" t="s">
        <v>1012</v>
      </c>
      <c r="F23" s="4" t="s">
        <v>2984</v>
      </c>
      <c r="G23" s="4" t="s">
        <v>2985</v>
      </c>
      <c r="H23" s="4" t="s">
        <v>65</v>
      </c>
      <c r="I23" s="4" t="s">
        <v>128</v>
      </c>
      <c r="J23" s="4" t="s">
        <v>2986</v>
      </c>
      <c r="K23" s="4" t="s">
        <v>2987</v>
      </c>
      <c r="L23" s="5" t="s">
        <v>85</v>
      </c>
      <c r="M23" s="4" t="s">
        <v>85</v>
      </c>
      <c r="N23" s="4" t="s">
        <v>85</v>
      </c>
      <c r="O23" s="4" t="s">
        <v>2988</v>
      </c>
      <c r="P23" s="4" t="s">
        <v>72</v>
      </c>
      <c r="Q23" s="4" t="s">
        <v>316</v>
      </c>
      <c r="R23" s="4" t="s">
        <v>74</v>
      </c>
      <c r="S23" s="4" t="s">
        <v>2989</v>
      </c>
      <c r="T23" s="4" t="s">
        <v>2990</v>
      </c>
      <c r="U23" s="4" t="s">
        <v>2991</v>
      </c>
      <c r="V23" s="4"/>
      <c r="W23" s="4" t="s">
        <v>2992</v>
      </c>
      <c r="X23" s="4"/>
      <c r="Y23" s="4" t="s">
        <v>350</v>
      </c>
    </row>
    <row r="24" customFormat="false" ht="57.45" hidden="false" customHeight="false" outlineLevel="0" collapsed="false">
      <c r="A24" s="4" t="s">
        <v>2993</v>
      </c>
      <c r="B24" s="4" t="s">
        <v>2994</v>
      </c>
      <c r="C24" s="4" t="s">
        <v>2995</v>
      </c>
      <c r="D24" s="4" t="s">
        <v>61</v>
      </c>
      <c r="E24" s="4" t="s">
        <v>1012</v>
      </c>
      <c r="F24" s="4" t="s">
        <v>2996</v>
      </c>
      <c r="G24" s="4" t="s">
        <v>2997</v>
      </c>
      <c r="H24" s="4" t="s">
        <v>65</v>
      </c>
      <c r="I24" s="4" t="s">
        <v>128</v>
      </c>
      <c r="J24" s="4" t="s">
        <v>2998</v>
      </c>
      <c r="K24" s="4" t="s">
        <v>2999</v>
      </c>
      <c r="L24" s="6" t="s">
        <v>221</v>
      </c>
      <c r="M24" s="4" t="s">
        <v>3000</v>
      </c>
      <c r="N24" s="4" t="s">
        <v>85</v>
      </c>
      <c r="O24" s="4" t="s">
        <v>3001</v>
      </c>
      <c r="P24" s="4" t="s">
        <v>103</v>
      </c>
      <c r="Q24" s="4" t="s">
        <v>74</v>
      </c>
      <c r="R24" s="4" t="s">
        <v>74</v>
      </c>
      <c r="S24" s="4" t="s">
        <v>3002</v>
      </c>
      <c r="T24" s="4" t="s">
        <v>3003</v>
      </c>
      <c r="U24" s="4" t="s">
        <v>3004</v>
      </c>
      <c r="V24" s="4"/>
      <c r="W24" s="4" t="s">
        <v>253</v>
      </c>
      <c r="X24" s="4"/>
      <c r="Y24" s="4" t="s">
        <v>226</v>
      </c>
    </row>
    <row r="25" customFormat="false" ht="57.45" hidden="false" customHeight="false" outlineLevel="0" collapsed="false">
      <c r="A25" s="4" t="s">
        <v>3005</v>
      </c>
      <c r="B25" s="4" t="s">
        <v>3006</v>
      </c>
      <c r="C25" s="4" t="s">
        <v>3007</v>
      </c>
      <c r="D25" s="4" t="s">
        <v>61</v>
      </c>
      <c r="E25" s="4" t="s">
        <v>1012</v>
      </c>
      <c r="F25" s="4" t="s">
        <v>3008</v>
      </c>
      <c r="G25" s="4" t="s">
        <v>3009</v>
      </c>
      <c r="H25" s="4" t="s">
        <v>65</v>
      </c>
      <c r="I25" s="4" t="s">
        <v>97</v>
      </c>
      <c r="J25" s="4" t="s">
        <v>3010</v>
      </c>
      <c r="K25" s="4" t="s">
        <v>3011</v>
      </c>
      <c r="L25" s="5" t="s">
        <v>85</v>
      </c>
      <c r="M25" s="4" t="s">
        <v>3012</v>
      </c>
      <c r="N25" s="4" t="s">
        <v>85</v>
      </c>
      <c r="O25" s="4" t="s">
        <v>3013</v>
      </c>
      <c r="P25" s="4" t="s">
        <v>72</v>
      </c>
      <c r="Q25" s="4" t="s">
        <v>316</v>
      </c>
      <c r="R25" s="4" t="s">
        <v>74</v>
      </c>
      <c r="S25" s="4" t="s">
        <v>3014</v>
      </c>
      <c r="T25" s="4" t="s">
        <v>3015</v>
      </c>
      <c r="U25" s="4" t="s">
        <v>3016</v>
      </c>
      <c r="V25" s="4"/>
      <c r="W25" s="4" t="s">
        <v>3017</v>
      </c>
      <c r="X25" s="4"/>
      <c r="Y25" s="4" t="s">
        <v>350</v>
      </c>
    </row>
    <row r="26" customFormat="false" ht="46.25" hidden="false" customHeight="false" outlineLevel="0" collapsed="false">
      <c r="A26" s="4" t="s">
        <v>3018</v>
      </c>
      <c r="B26" s="4" t="s">
        <v>3019</v>
      </c>
      <c r="C26" s="4" t="s">
        <v>3020</v>
      </c>
      <c r="D26" s="4" t="s">
        <v>61</v>
      </c>
      <c r="E26" s="4" t="s">
        <v>1012</v>
      </c>
      <c r="F26" s="4" t="s">
        <v>3021</v>
      </c>
      <c r="G26" s="4" t="s">
        <v>3022</v>
      </c>
      <c r="H26" s="4" t="s">
        <v>65</v>
      </c>
      <c r="I26" s="4" t="s">
        <v>128</v>
      </c>
      <c r="J26" s="4" t="s">
        <v>3023</v>
      </c>
      <c r="K26" s="4" t="s">
        <v>3024</v>
      </c>
      <c r="L26" s="5" t="s">
        <v>85</v>
      </c>
      <c r="M26" s="4" t="s">
        <v>85</v>
      </c>
      <c r="N26" s="4" t="s">
        <v>85</v>
      </c>
      <c r="O26" s="4" t="s">
        <v>3025</v>
      </c>
      <c r="P26" s="4" t="s">
        <v>72</v>
      </c>
      <c r="Q26" s="4" t="s">
        <v>316</v>
      </c>
      <c r="R26" s="4" t="s">
        <v>74</v>
      </c>
      <c r="S26" s="4" t="s">
        <v>3026</v>
      </c>
      <c r="T26" s="4" t="s">
        <v>3027</v>
      </c>
      <c r="U26" s="4" t="s">
        <v>3028</v>
      </c>
      <c r="V26" s="4"/>
      <c r="W26" s="4" t="s">
        <v>3029</v>
      </c>
      <c r="X26" s="4"/>
      <c r="Y26" s="4" t="s">
        <v>226</v>
      </c>
    </row>
    <row r="27" customFormat="false" ht="46.25" hidden="false" customHeight="false" outlineLevel="0" collapsed="false">
      <c r="A27" s="4" t="s">
        <v>3030</v>
      </c>
      <c r="B27" s="4" t="s">
        <v>3031</v>
      </c>
      <c r="C27" s="4" t="s">
        <v>3032</v>
      </c>
      <c r="D27" s="4" t="s">
        <v>61</v>
      </c>
      <c r="E27" s="4" t="s">
        <v>1012</v>
      </c>
      <c r="F27" s="4" t="s">
        <v>3033</v>
      </c>
      <c r="G27" s="4" t="s">
        <v>3034</v>
      </c>
      <c r="H27" s="4" t="s">
        <v>61</v>
      </c>
      <c r="I27" s="4" t="s">
        <v>128</v>
      </c>
      <c r="J27" s="4" t="s">
        <v>3035</v>
      </c>
      <c r="K27" s="4" t="s">
        <v>3036</v>
      </c>
      <c r="L27" s="5" t="s">
        <v>85</v>
      </c>
      <c r="M27" s="4" t="s">
        <v>3037</v>
      </c>
      <c r="N27" s="4" t="s">
        <v>85</v>
      </c>
      <c r="O27" s="4" t="s">
        <v>3038</v>
      </c>
      <c r="P27" s="4" t="s">
        <v>72</v>
      </c>
      <c r="Q27" s="4" t="s">
        <v>316</v>
      </c>
      <c r="R27" s="4" t="s">
        <v>74</v>
      </c>
      <c r="S27" s="4" t="s">
        <v>3039</v>
      </c>
      <c r="T27" s="4" t="s">
        <v>3040</v>
      </c>
      <c r="U27" s="4" t="s">
        <v>3041</v>
      </c>
      <c r="V27" s="4"/>
      <c r="W27" s="4" t="s">
        <v>3042</v>
      </c>
      <c r="X27" s="4" t="s">
        <v>3043</v>
      </c>
      <c r="Y27" s="4" t="s">
        <v>226</v>
      </c>
    </row>
    <row r="28" customFormat="false" ht="35.05" hidden="false" customHeight="false" outlineLevel="0" collapsed="false">
      <c r="A28" s="4" t="s">
        <v>3044</v>
      </c>
      <c r="B28" s="4" t="s">
        <v>3045</v>
      </c>
      <c r="C28" s="4" t="s">
        <v>3046</v>
      </c>
      <c r="D28" s="4" t="s">
        <v>61</v>
      </c>
      <c r="E28" s="4" t="s">
        <v>1012</v>
      </c>
      <c r="F28" s="4" t="s">
        <v>3047</v>
      </c>
      <c r="G28" s="4" t="s">
        <v>3048</v>
      </c>
      <c r="H28" s="4" t="s">
        <v>61</v>
      </c>
      <c r="I28" s="4" t="s">
        <v>128</v>
      </c>
      <c r="J28" s="4" t="s">
        <v>3049</v>
      </c>
      <c r="K28" s="4" t="s">
        <v>3050</v>
      </c>
      <c r="L28" s="6" t="s">
        <v>221</v>
      </c>
      <c r="M28" s="4" t="s">
        <v>3051</v>
      </c>
      <c r="N28" s="4" t="s">
        <v>85</v>
      </c>
      <c r="O28" s="4" t="s">
        <v>3052</v>
      </c>
      <c r="P28" s="4" t="s">
        <v>72</v>
      </c>
      <c r="Q28" s="4" t="s">
        <v>316</v>
      </c>
      <c r="R28" s="4" t="s">
        <v>74</v>
      </c>
      <c r="S28" s="4" t="s">
        <v>3053</v>
      </c>
      <c r="T28" s="4" t="s">
        <v>3054</v>
      </c>
      <c r="U28" s="4" t="s">
        <v>3055</v>
      </c>
      <c r="V28" s="4"/>
      <c r="W28" s="4" t="s">
        <v>2968</v>
      </c>
      <c r="X28" s="4" t="s">
        <v>3056</v>
      </c>
      <c r="Y28" s="4" t="s">
        <v>226</v>
      </c>
    </row>
    <row r="29" customFormat="false" ht="35.05" hidden="false" customHeight="false" outlineLevel="0" collapsed="false">
      <c r="A29" s="4" t="s">
        <v>3057</v>
      </c>
      <c r="B29" s="4" t="s">
        <v>3058</v>
      </c>
      <c r="C29" s="4" t="s">
        <v>3059</v>
      </c>
      <c r="D29" s="4" t="s">
        <v>61</v>
      </c>
      <c r="E29" s="4" t="s">
        <v>1012</v>
      </c>
      <c r="F29" s="4" t="s">
        <v>3060</v>
      </c>
      <c r="G29" s="4" t="s">
        <v>3061</v>
      </c>
      <c r="H29" s="4" t="s">
        <v>65</v>
      </c>
      <c r="I29" s="4" t="s">
        <v>3062</v>
      </c>
      <c r="J29" s="4" t="s">
        <v>3062</v>
      </c>
      <c r="K29" s="4" t="s">
        <v>3063</v>
      </c>
      <c r="L29" s="6" t="s">
        <v>221</v>
      </c>
      <c r="M29" s="4" t="s">
        <v>3064</v>
      </c>
      <c r="N29" s="4" t="s">
        <v>3065</v>
      </c>
      <c r="O29" s="4" t="s">
        <v>3066</v>
      </c>
      <c r="P29" s="4" t="s">
        <v>72</v>
      </c>
      <c r="Q29" s="4" t="s">
        <v>74</v>
      </c>
      <c r="R29" s="4" t="s">
        <v>74</v>
      </c>
      <c r="S29" s="4" t="s">
        <v>660</v>
      </c>
      <c r="T29" s="4" t="s">
        <v>3067</v>
      </c>
      <c r="U29" s="4" t="s">
        <v>3068</v>
      </c>
      <c r="V29" s="4"/>
      <c r="W29" s="4" t="s">
        <v>3069</v>
      </c>
      <c r="X29" s="4"/>
      <c r="Y29" s="4" t="s">
        <v>1022</v>
      </c>
    </row>
    <row r="30" customFormat="false" ht="46.25" hidden="false" customHeight="false" outlineLevel="0" collapsed="false">
      <c r="A30" s="4" t="s">
        <v>3070</v>
      </c>
      <c r="B30" s="4" t="s">
        <v>3071</v>
      </c>
      <c r="C30" s="4" t="s">
        <v>3072</v>
      </c>
      <c r="D30" s="4" t="s">
        <v>61</v>
      </c>
      <c r="E30" s="4" t="s">
        <v>1012</v>
      </c>
      <c r="F30" s="4" t="s">
        <v>3073</v>
      </c>
      <c r="G30" s="4" t="s">
        <v>3074</v>
      </c>
      <c r="H30" s="4" t="s">
        <v>65</v>
      </c>
      <c r="I30" s="4" t="s">
        <v>3075</v>
      </c>
      <c r="J30" s="4" t="s">
        <v>3075</v>
      </c>
      <c r="K30" s="4" t="s">
        <v>85</v>
      </c>
      <c r="L30" s="5" t="s">
        <v>85</v>
      </c>
      <c r="M30" s="4" t="s">
        <v>85</v>
      </c>
      <c r="N30" s="4" t="s">
        <v>3076</v>
      </c>
      <c r="O30" s="4" t="s">
        <v>3077</v>
      </c>
      <c r="P30" s="4" t="s">
        <v>72</v>
      </c>
      <c r="Q30" s="4" t="s">
        <v>316</v>
      </c>
      <c r="R30" s="4" t="s">
        <v>74</v>
      </c>
      <c r="S30" s="4" t="s">
        <v>3078</v>
      </c>
      <c r="T30" s="4" t="s">
        <v>3079</v>
      </c>
      <c r="U30" s="4" t="s">
        <v>3080</v>
      </c>
      <c r="V30" s="4"/>
      <c r="W30" s="4" t="s">
        <v>65</v>
      </c>
      <c r="X30" s="4" t="s">
        <v>3081</v>
      </c>
      <c r="Y30" s="4" t="s">
        <v>1022</v>
      </c>
    </row>
    <row r="31" customFormat="false" ht="35.05" hidden="false" customHeight="false" outlineLevel="0" collapsed="false">
      <c r="A31" s="4" t="s">
        <v>3082</v>
      </c>
      <c r="B31" s="4" t="s">
        <v>3083</v>
      </c>
      <c r="C31" s="4" t="s">
        <v>3084</v>
      </c>
      <c r="D31" s="4" t="s">
        <v>61</v>
      </c>
      <c r="E31" s="4" t="s">
        <v>1040</v>
      </c>
      <c r="F31" s="4" t="s">
        <v>3085</v>
      </c>
      <c r="G31" s="4" t="s">
        <v>3086</v>
      </c>
      <c r="H31" s="4" t="s">
        <v>65</v>
      </c>
      <c r="I31" s="4" t="s">
        <v>2764</v>
      </c>
      <c r="J31" s="4" t="s">
        <v>2764</v>
      </c>
      <c r="K31" s="4" t="s">
        <v>3087</v>
      </c>
      <c r="L31" s="6" t="s">
        <v>221</v>
      </c>
      <c r="M31" s="4" t="s">
        <v>3088</v>
      </c>
      <c r="N31" s="4" t="s">
        <v>3089</v>
      </c>
      <c r="O31" s="4" t="s">
        <v>3090</v>
      </c>
      <c r="P31" s="4" t="s">
        <v>72</v>
      </c>
      <c r="Q31" s="4" t="s">
        <v>316</v>
      </c>
      <c r="R31" s="4" t="s">
        <v>74</v>
      </c>
      <c r="S31" s="4" t="s">
        <v>3091</v>
      </c>
      <c r="T31" s="4" t="s">
        <v>69</v>
      </c>
      <c r="U31" s="4" t="s">
        <v>3092</v>
      </c>
      <c r="V31" s="4"/>
      <c r="W31" s="4" t="s">
        <v>3093</v>
      </c>
      <c r="X31" s="4"/>
      <c r="Y31" s="4" t="s">
        <v>1279</v>
      </c>
    </row>
    <row r="32" customFormat="false" ht="68.65" hidden="false" customHeight="false" outlineLevel="0" collapsed="false">
      <c r="A32" s="4" t="s">
        <v>3094</v>
      </c>
      <c r="B32" s="4" t="s">
        <v>3095</v>
      </c>
      <c r="C32" s="4" t="s">
        <v>3096</v>
      </c>
      <c r="D32" s="4" t="s">
        <v>61</v>
      </c>
      <c r="E32" s="4" t="s">
        <v>1040</v>
      </c>
      <c r="F32" s="4" t="s">
        <v>3097</v>
      </c>
      <c r="G32" s="4" t="s">
        <v>3098</v>
      </c>
      <c r="H32" s="4" t="s">
        <v>65</v>
      </c>
      <c r="I32" s="4" t="s">
        <v>128</v>
      </c>
      <c r="J32" s="4" t="s">
        <v>3099</v>
      </c>
      <c r="K32" s="4" t="s">
        <v>3100</v>
      </c>
      <c r="L32" s="6" t="s">
        <v>221</v>
      </c>
      <c r="M32" s="4" t="s">
        <v>3101</v>
      </c>
      <c r="N32" s="4" t="s">
        <v>85</v>
      </c>
      <c r="O32" s="4" t="s">
        <v>3102</v>
      </c>
      <c r="P32" s="4" t="s">
        <v>103</v>
      </c>
      <c r="Q32" s="4" t="s">
        <v>316</v>
      </c>
      <c r="R32" s="4" t="s">
        <v>3103</v>
      </c>
      <c r="S32" s="4" t="s">
        <v>3104</v>
      </c>
      <c r="T32" s="4" t="s">
        <v>3105</v>
      </c>
      <c r="U32" s="4" t="s">
        <v>3106</v>
      </c>
      <c r="V32" s="4"/>
      <c r="W32" s="4" t="s">
        <v>3107</v>
      </c>
      <c r="X32" s="4"/>
      <c r="Y32" s="4" t="s">
        <v>1279</v>
      </c>
    </row>
    <row r="33" customFormat="false" ht="35.05" hidden="false" customHeight="false" outlineLevel="0" collapsed="false">
      <c r="A33" s="4" t="s">
        <v>3108</v>
      </c>
      <c r="B33" s="4" t="s">
        <v>3109</v>
      </c>
      <c r="C33" s="4" t="s">
        <v>3110</v>
      </c>
      <c r="D33" s="4" t="s">
        <v>61</v>
      </c>
      <c r="E33" s="4" t="s">
        <v>1040</v>
      </c>
      <c r="F33" s="4" t="s">
        <v>3111</v>
      </c>
      <c r="G33" s="4" t="s">
        <v>3112</v>
      </c>
      <c r="H33" s="4" t="s">
        <v>61</v>
      </c>
      <c r="I33" s="4" t="s">
        <v>2764</v>
      </c>
      <c r="J33" s="4" t="s">
        <v>2764</v>
      </c>
      <c r="K33" s="4" t="s">
        <v>3113</v>
      </c>
      <c r="L33" s="6" t="s">
        <v>221</v>
      </c>
      <c r="M33" s="4" t="s">
        <v>3114</v>
      </c>
      <c r="N33" s="4" t="s">
        <v>3089</v>
      </c>
      <c r="O33" s="4" t="s">
        <v>3115</v>
      </c>
      <c r="P33" s="4" t="s">
        <v>72</v>
      </c>
      <c r="Q33" s="4" t="s">
        <v>316</v>
      </c>
      <c r="R33" s="4" t="s">
        <v>74</v>
      </c>
      <c r="S33" s="4" t="s">
        <v>3116</v>
      </c>
      <c r="T33" s="4" t="s">
        <v>69</v>
      </c>
      <c r="U33" s="4" t="s">
        <v>3117</v>
      </c>
      <c r="V33" s="4"/>
      <c r="W33" s="4" t="s">
        <v>3118</v>
      </c>
      <c r="X33" s="4"/>
      <c r="Y33" s="4" t="s">
        <v>1279</v>
      </c>
    </row>
    <row r="34" customFormat="false" ht="68.65" hidden="false" customHeight="false" outlineLevel="0" collapsed="false">
      <c r="A34" s="4" t="s">
        <v>3119</v>
      </c>
      <c r="B34" s="4" t="s">
        <v>3120</v>
      </c>
      <c r="C34" s="4" t="s">
        <v>3121</v>
      </c>
      <c r="D34" s="4" t="s">
        <v>61</v>
      </c>
      <c r="E34" s="4" t="s">
        <v>1040</v>
      </c>
      <c r="F34" s="4" t="s">
        <v>3122</v>
      </c>
      <c r="G34" s="4" t="s">
        <v>3123</v>
      </c>
      <c r="H34" s="4" t="s">
        <v>65</v>
      </c>
      <c r="I34" s="4" t="s">
        <v>128</v>
      </c>
      <c r="J34" s="4" t="s">
        <v>3124</v>
      </c>
      <c r="K34" s="4" t="s">
        <v>3125</v>
      </c>
      <c r="L34" s="6" t="s">
        <v>221</v>
      </c>
      <c r="M34" s="4" t="s">
        <v>3126</v>
      </c>
      <c r="N34" s="4" t="s">
        <v>3127</v>
      </c>
      <c r="O34" s="4" t="s">
        <v>3128</v>
      </c>
      <c r="P34" s="4" t="s">
        <v>103</v>
      </c>
      <c r="Q34" s="4" t="s">
        <v>316</v>
      </c>
      <c r="R34" s="4" t="s">
        <v>74</v>
      </c>
      <c r="S34" s="4" t="s">
        <v>3129</v>
      </c>
      <c r="T34" s="4" t="s">
        <v>3130</v>
      </c>
      <c r="U34" s="4" t="s">
        <v>3131</v>
      </c>
      <c r="V34" s="4"/>
      <c r="W34" s="4" t="s">
        <v>3132</v>
      </c>
      <c r="X34" s="4" t="s">
        <v>3133</v>
      </c>
      <c r="Y34" s="4" t="s">
        <v>1279</v>
      </c>
    </row>
    <row r="35" customFormat="false" ht="57.45" hidden="false" customHeight="false" outlineLevel="0" collapsed="false">
      <c r="A35" s="4" t="s">
        <v>3134</v>
      </c>
      <c r="B35" s="4" t="s">
        <v>3135</v>
      </c>
      <c r="C35" s="4" t="s">
        <v>3136</v>
      </c>
      <c r="D35" s="4" t="s">
        <v>61</v>
      </c>
      <c r="E35" s="4" t="s">
        <v>1040</v>
      </c>
      <c r="F35" s="4" t="s">
        <v>3137</v>
      </c>
      <c r="G35" s="4" t="s">
        <v>3138</v>
      </c>
      <c r="H35" s="4" t="s">
        <v>65</v>
      </c>
      <c r="I35" s="4" t="s">
        <v>66</v>
      </c>
      <c r="J35" s="4" t="s">
        <v>3139</v>
      </c>
      <c r="K35" s="4" t="s">
        <v>85</v>
      </c>
      <c r="L35" s="5" t="s">
        <v>85</v>
      </c>
      <c r="M35" s="4" t="s">
        <v>85</v>
      </c>
      <c r="N35" s="4" t="s">
        <v>2765</v>
      </c>
      <c r="O35" s="4" t="s">
        <v>3140</v>
      </c>
      <c r="P35" s="4" t="s">
        <v>72</v>
      </c>
      <c r="Q35" s="4" t="s">
        <v>73</v>
      </c>
      <c r="R35" s="4" t="s">
        <v>74</v>
      </c>
      <c r="S35" s="4" t="s">
        <v>3141</v>
      </c>
      <c r="T35" s="4" t="s">
        <v>3142</v>
      </c>
      <c r="U35" s="4" t="s">
        <v>3143</v>
      </c>
      <c r="V35" s="4" t="s">
        <v>3144</v>
      </c>
      <c r="W35" s="4" t="s">
        <v>3069</v>
      </c>
      <c r="X35" s="4" t="s">
        <v>3145</v>
      </c>
      <c r="Y35" s="4" t="s">
        <v>1166</v>
      </c>
    </row>
    <row r="36" customFormat="false" ht="46.25" hidden="false" customHeight="false" outlineLevel="0" collapsed="false">
      <c r="A36" s="4" t="s">
        <v>3146</v>
      </c>
      <c r="B36" s="4" t="s">
        <v>3147</v>
      </c>
      <c r="C36" s="4" t="s">
        <v>3148</v>
      </c>
      <c r="D36" s="4" t="s">
        <v>61</v>
      </c>
      <c r="E36" s="4" t="s">
        <v>1311</v>
      </c>
      <c r="F36" s="4" t="s">
        <v>3149</v>
      </c>
      <c r="G36" s="4" t="s">
        <v>3150</v>
      </c>
      <c r="H36" s="4" t="s">
        <v>61</v>
      </c>
      <c r="I36" s="4" t="s">
        <v>3062</v>
      </c>
      <c r="J36" s="4" t="s">
        <v>3062</v>
      </c>
      <c r="K36" s="4" t="s">
        <v>3151</v>
      </c>
      <c r="L36" s="5" t="s">
        <v>85</v>
      </c>
      <c r="M36" s="4" t="s">
        <v>85</v>
      </c>
      <c r="N36" s="4" t="s">
        <v>3152</v>
      </c>
      <c r="O36" s="4" t="s">
        <v>3153</v>
      </c>
      <c r="P36" s="4" t="s">
        <v>72</v>
      </c>
      <c r="Q36" s="4" t="s">
        <v>316</v>
      </c>
      <c r="R36" s="4" t="s">
        <v>74</v>
      </c>
      <c r="S36" s="4" t="s">
        <v>3154</v>
      </c>
      <c r="T36" s="4" t="s">
        <v>3155</v>
      </c>
      <c r="U36" s="4" t="s">
        <v>3156</v>
      </c>
      <c r="V36" s="4"/>
      <c r="W36" s="4" t="s">
        <v>3157</v>
      </c>
      <c r="X36" s="4"/>
      <c r="Y36" s="4" t="s">
        <v>1319</v>
      </c>
    </row>
    <row r="37" customFormat="false" ht="35.05" hidden="false" customHeight="false" outlineLevel="0" collapsed="false">
      <c r="A37" s="4" t="s">
        <v>3158</v>
      </c>
      <c r="B37" s="4" t="s">
        <v>3159</v>
      </c>
      <c r="C37" s="4" t="s">
        <v>3160</v>
      </c>
      <c r="D37" s="4" t="s">
        <v>61</v>
      </c>
      <c r="E37" s="4" t="s">
        <v>1311</v>
      </c>
      <c r="F37" s="4" t="s">
        <v>3161</v>
      </c>
      <c r="G37" s="4" t="s">
        <v>3162</v>
      </c>
      <c r="H37" s="4" t="s">
        <v>65</v>
      </c>
      <c r="I37" s="4" t="s">
        <v>2764</v>
      </c>
      <c r="J37" s="4" t="s">
        <v>2764</v>
      </c>
      <c r="K37" s="4" t="s">
        <v>85</v>
      </c>
      <c r="L37" s="5" t="s">
        <v>85</v>
      </c>
      <c r="M37" s="4" t="s">
        <v>85</v>
      </c>
      <c r="N37" s="4" t="s">
        <v>85</v>
      </c>
      <c r="O37" s="4" t="s">
        <v>3163</v>
      </c>
      <c r="P37" s="4" t="s">
        <v>72</v>
      </c>
      <c r="Q37" s="4" t="s">
        <v>73</v>
      </c>
      <c r="R37" s="4" t="s">
        <v>74</v>
      </c>
      <c r="S37" s="4" t="s">
        <v>3164</v>
      </c>
      <c r="T37" s="4" t="s">
        <v>144</v>
      </c>
      <c r="U37" s="4" t="s">
        <v>3165</v>
      </c>
      <c r="V37" s="4"/>
      <c r="W37" s="4" t="s">
        <v>3166</v>
      </c>
      <c r="X37" s="4"/>
      <c r="Y37" s="4" t="s">
        <v>1319</v>
      </c>
    </row>
    <row r="38" customFormat="false" ht="68.65" hidden="false" customHeight="false" outlineLevel="0" collapsed="false">
      <c r="A38" s="4" t="s">
        <v>3167</v>
      </c>
      <c r="B38" s="4" t="s">
        <v>3168</v>
      </c>
      <c r="C38" s="4" t="s">
        <v>3169</v>
      </c>
      <c r="D38" s="4" t="s">
        <v>61</v>
      </c>
      <c r="E38" s="4" t="s">
        <v>1311</v>
      </c>
      <c r="F38" s="4" t="s">
        <v>3170</v>
      </c>
      <c r="G38" s="4" t="s">
        <v>3171</v>
      </c>
      <c r="H38" s="4" t="s">
        <v>65</v>
      </c>
      <c r="I38" s="4" t="s">
        <v>97</v>
      </c>
      <c r="J38" s="4" t="s">
        <v>3172</v>
      </c>
      <c r="K38" s="4" t="s">
        <v>3173</v>
      </c>
      <c r="L38" s="5" t="s">
        <v>85</v>
      </c>
      <c r="M38" s="4" t="s">
        <v>3174</v>
      </c>
      <c r="N38" s="4" t="s">
        <v>3175</v>
      </c>
      <c r="O38" s="4" t="s">
        <v>3176</v>
      </c>
      <c r="P38" s="4" t="s">
        <v>72</v>
      </c>
      <c r="Q38" s="4" t="s">
        <v>74</v>
      </c>
      <c r="R38" s="4" t="s">
        <v>74</v>
      </c>
      <c r="S38" s="4" t="s">
        <v>3177</v>
      </c>
      <c r="T38" s="4" t="s">
        <v>3178</v>
      </c>
      <c r="U38" s="4" t="s">
        <v>3179</v>
      </c>
      <c r="V38" s="4"/>
      <c r="W38" s="4" t="s">
        <v>3180</v>
      </c>
      <c r="X38" s="4" t="s">
        <v>3181</v>
      </c>
      <c r="Y38" s="4" t="s">
        <v>376</v>
      </c>
    </row>
    <row r="39" customFormat="false" ht="46.25" hidden="false" customHeight="false" outlineLevel="0" collapsed="false">
      <c r="A39" s="4" t="s">
        <v>3182</v>
      </c>
      <c r="B39" s="4" t="s">
        <v>3183</v>
      </c>
      <c r="C39" s="4" t="s">
        <v>3184</v>
      </c>
      <c r="D39" s="4" t="s">
        <v>61</v>
      </c>
      <c r="E39" s="4" t="s">
        <v>1311</v>
      </c>
      <c r="F39" s="4" t="s">
        <v>3185</v>
      </c>
      <c r="G39" s="4" t="s">
        <v>3186</v>
      </c>
      <c r="H39" s="4" t="s">
        <v>65</v>
      </c>
      <c r="I39" s="4" t="s">
        <v>128</v>
      </c>
      <c r="J39" s="4" t="s">
        <v>3187</v>
      </c>
      <c r="K39" s="4" t="s">
        <v>3188</v>
      </c>
      <c r="L39" s="5" t="s">
        <v>85</v>
      </c>
      <c r="M39" s="4" t="s">
        <v>3189</v>
      </c>
      <c r="N39" s="4" t="s">
        <v>3190</v>
      </c>
      <c r="O39" s="4" t="s">
        <v>3191</v>
      </c>
      <c r="P39" s="4" t="s">
        <v>72</v>
      </c>
      <c r="Q39" s="4" t="s">
        <v>74</v>
      </c>
      <c r="R39" s="4" t="s">
        <v>3192</v>
      </c>
      <c r="S39" s="4" t="s">
        <v>3193</v>
      </c>
      <c r="T39" s="4" t="s">
        <v>3194</v>
      </c>
      <c r="U39" s="4" t="s">
        <v>3195</v>
      </c>
      <c r="V39" s="4"/>
      <c r="W39" s="4" t="s">
        <v>3196</v>
      </c>
      <c r="X39" s="4" t="s">
        <v>3197</v>
      </c>
      <c r="Y39" s="4" t="s">
        <v>1022</v>
      </c>
    </row>
    <row r="40" customFormat="false" ht="79.85" hidden="false" customHeight="false" outlineLevel="0" collapsed="false">
      <c r="A40" s="4" t="s">
        <v>3198</v>
      </c>
      <c r="B40" s="4" t="s">
        <v>3199</v>
      </c>
      <c r="C40" s="4" t="s">
        <v>3200</v>
      </c>
      <c r="D40" s="4" t="s">
        <v>61</v>
      </c>
      <c r="E40" s="4" t="s">
        <v>1311</v>
      </c>
      <c r="F40" s="4" t="s">
        <v>3201</v>
      </c>
      <c r="G40" s="4" t="s">
        <v>3202</v>
      </c>
      <c r="H40" s="4" t="s">
        <v>65</v>
      </c>
      <c r="I40" s="4" t="s">
        <v>97</v>
      </c>
      <c r="J40" s="4" t="s">
        <v>3203</v>
      </c>
      <c r="K40" s="4" t="s">
        <v>3204</v>
      </c>
      <c r="L40" s="5" t="s">
        <v>85</v>
      </c>
      <c r="M40" s="4" t="s">
        <v>85</v>
      </c>
      <c r="N40" s="4" t="s">
        <v>3205</v>
      </c>
      <c r="O40" s="4" t="s">
        <v>3206</v>
      </c>
      <c r="P40" s="4" t="s">
        <v>103</v>
      </c>
      <c r="Q40" s="4" t="s">
        <v>74</v>
      </c>
      <c r="R40" s="4" t="s">
        <v>316</v>
      </c>
      <c r="S40" s="4" t="s">
        <v>3207</v>
      </c>
      <c r="T40" s="4" t="s">
        <v>3208</v>
      </c>
      <c r="U40" s="4" t="s">
        <v>3209</v>
      </c>
      <c r="V40" s="4"/>
      <c r="W40" s="4" t="s">
        <v>3210</v>
      </c>
      <c r="X40" s="4" t="s">
        <v>3211</v>
      </c>
      <c r="Y40" s="4" t="s">
        <v>109</v>
      </c>
    </row>
    <row r="41" customFormat="false" ht="57.45" hidden="false" customHeight="false" outlineLevel="0" collapsed="false">
      <c r="A41" s="4" t="s">
        <v>3212</v>
      </c>
      <c r="B41" s="4" t="s">
        <v>3213</v>
      </c>
      <c r="C41" s="4" t="s">
        <v>3214</v>
      </c>
      <c r="D41" s="4" t="s">
        <v>61</v>
      </c>
      <c r="E41" s="4" t="s">
        <v>1311</v>
      </c>
      <c r="F41" s="4" t="s">
        <v>3215</v>
      </c>
      <c r="G41" s="4" t="s">
        <v>3216</v>
      </c>
      <c r="H41" s="4" t="s">
        <v>61</v>
      </c>
      <c r="I41" s="4" t="s">
        <v>2764</v>
      </c>
      <c r="J41" s="4" t="s">
        <v>2764</v>
      </c>
      <c r="K41" s="4" t="s">
        <v>3217</v>
      </c>
      <c r="L41" s="5" t="s">
        <v>85</v>
      </c>
      <c r="M41" s="4" t="s">
        <v>85</v>
      </c>
      <c r="N41" s="4" t="s">
        <v>3218</v>
      </c>
      <c r="O41" s="4" t="s">
        <v>2731</v>
      </c>
      <c r="P41" s="4" t="s">
        <v>72</v>
      </c>
      <c r="Q41" s="4" t="s">
        <v>316</v>
      </c>
      <c r="R41" s="4" t="s">
        <v>74</v>
      </c>
      <c r="S41" s="4" t="s">
        <v>3219</v>
      </c>
      <c r="T41" s="4" t="s">
        <v>144</v>
      </c>
      <c r="U41" s="4" t="s">
        <v>3220</v>
      </c>
      <c r="V41" s="4" t="s">
        <v>3221</v>
      </c>
      <c r="W41" s="4" t="s">
        <v>61</v>
      </c>
      <c r="X41" s="4"/>
      <c r="Y41" s="4" t="s">
        <v>109</v>
      </c>
    </row>
    <row r="42" customFormat="false" ht="35.05" hidden="false" customHeight="false" outlineLevel="0" collapsed="false">
      <c r="A42" s="4" t="s">
        <v>3222</v>
      </c>
      <c r="B42" s="4" t="s">
        <v>3223</v>
      </c>
      <c r="C42" s="4" t="s">
        <v>3224</v>
      </c>
      <c r="D42" s="4" t="s">
        <v>61</v>
      </c>
      <c r="E42" s="4" t="s">
        <v>1311</v>
      </c>
      <c r="F42" s="4" t="s">
        <v>3225</v>
      </c>
      <c r="G42" s="4" t="s">
        <v>3226</v>
      </c>
      <c r="H42" s="4" t="s">
        <v>65</v>
      </c>
      <c r="I42" s="4" t="s">
        <v>66</v>
      </c>
      <c r="J42" s="4" t="s">
        <v>3227</v>
      </c>
      <c r="K42" s="4" t="s">
        <v>85</v>
      </c>
      <c r="L42" s="5" t="s">
        <v>85</v>
      </c>
      <c r="M42" s="4" t="s">
        <v>85</v>
      </c>
      <c r="N42" s="4" t="s">
        <v>85</v>
      </c>
      <c r="O42" s="4" t="s">
        <v>2826</v>
      </c>
      <c r="P42" s="4" t="s">
        <v>72</v>
      </c>
      <c r="Q42" s="4" t="s">
        <v>73</v>
      </c>
      <c r="R42" s="4" t="s">
        <v>74</v>
      </c>
      <c r="S42" s="4" t="s">
        <v>3228</v>
      </c>
      <c r="T42" s="4" t="s">
        <v>144</v>
      </c>
      <c r="U42" s="4" t="s">
        <v>3229</v>
      </c>
      <c r="V42" s="4"/>
      <c r="W42" s="4" t="s">
        <v>3166</v>
      </c>
      <c r="X42" s="4"/>
      <c r="Y42" s="4" t="s">
        <v>109</v>
      </c>
    </row>
    <row r="43" customFormat="false" ht="35.05" hidden="false" customHeight="false" outlineLevel="0" collapsed="false">
      <c r="A43" s="4" t="s">
        <v>3230</v>
      </c>
      <c r="B43" s="4" t="s">
        <v>3231</v>
      </c>
      <c r="C43" s="4" t="s">
        <v>3232</v>
      </c>
      <c r="D43" s="4" t="s">
        <v>61</v>
      </c>
      <c r="E43" s="4" t="s">
        <v>1311</v>
      </c>
      <c r="F43" s="4" t="s">
        <v>3233</v>
      </c>
      <c r="G43" s="4" t="s">
        <v>3234</v>
      </c>
      <c r="H43" s="4" t="s">
        <v>65</v>
      </c>
      <c r="I43" s="4" t="s">
        <v>2764</v>
      </c>
      <c r="J43" s="4" t="s">
        <v>2764</v>
      </c>
      <c r="K43" s="4" t="s">
        <v>3235</v>
      </c>
      <c r="L43" s="5" t="s">
        <v>85</v>
      </c>
      <c r="M43" s="4" t="s">
        <v>3236</v>
      </c>
      <c r="N43" s="4" t="s">
        <v>3237</v>
      </c>
      <c r="O43" s="4" t="s">
        <v>3238</v>
      </c>
      <c r="P43" s="4" t="s">
        <v>72</v>
      </c>
      <c r="Q43" s="4" t="s">
        <v>74</v>
      </c>
      <c r="R43" s="4" t="s">
        <v>316</v>
      </c>
      <c r="S43" s="4" t="s">
        <v>3239</v>
      </c>
      <c r="T43" s="4" t="s">
        <v>144</v>
      </c>
      <c r="U43" s="4" t="s">
        <v>3240</v>
      </c>
      <c r="V43" s="4" t="s">
        <v>3241</v>
      </c>
      <c r="W43" s="4" t="s">
        <v>3242</v>
      </c>
      <c r="X43" s="4"/>
      <c r="Y43" s="4" t="s">
        <v>1319</v>
      </c>
    </row>
    <row r="44" customFormat="false" ht="79.85" hidden="false" customHeight="false" outlineLevel="0" collapsed="false">
      <c r="A44" s="4" t="s">
        <v>3243</v>
      </c>
      <c r="B44" s="4" t="s">
        <v>3244</v>
      </c>
      <c r="C44" s="4" t="s">
        <v>3245</v>
      </c>
      <c r="D44" s="4" t="s">
        <v>61</v>
      </c>
      <c r="E44" s="4" t="s">
        <v>1311</v>
      </c>
      <c r="F44" s="4" t="s">
        <v>3246</v>
      </c>
      <c r="G44" s="4" t="s">
        <v>3247</v>
      </c>
      <c r="H44" s="4" t="s">
        <v>65</v>
      </c>
      <c r="I44" s="4" t="s">
        <v>97</v>
      </c>
      <c r="J44" s="4" t="s">
        <v>3248</v>
      </c>
      <c r="K44" s="4" t="s">
        <v>3249</v>
      </c>
      <c r="L44" s="5" t="s">
        <v>85</v>
      </c>
      <c r="M44" s="4" t="s">
        <v>3250</v>
      </c>
      <c r="N44" s="4" t="s">
        <v>3251</v>
      </c>
      <c r="O44" s="4" t="s">
        <v>3252</v>
      </c>
      <c r="P44" s="4" t="s">
        <v>854</v>
      </c>
      <c r="Q44" s="4" t="s">
        <v>74</v>
      </c>
      <c r="R44" s="4" t="s">
        <v>316</v>
      </c>
      <c r="S44" s="4" t="s">
        <v>3253</v>
      </c>
      <c r="T44" s="4" t="s">
        <v>3254</v>
      </c>
      <c r="U44" s="4" t="s">
        <v>3255</v>
      </c>
      <c r="V44" s="4"/>
      <c r="W44" s="4" t="s">
        <v>3166</v>
      </c>
      <c r="X44" s="4" t="s">
        <v>3256</v>
      </c>
      <c r="Y44" s="4" t="s">
        <v>1319</v>
      </c>
    </row>
    <row r="45" customFormat="false" ht="46.25" hidden="false" customHeight="false" outlineLevel="0" collapsed="false">
      <c r="A45" s="4" t="s">
        <v>3257</v>
      </c>
      <c r="B45" s="4" t="s">
        <v>3258</v>
      </c>
      <c r="C45" s="4" t="s">
        <v>3259</v>
      </c>
      <c r="D45" s="4" t="s">
        <v>61</v>
      </c>
      <c r="E45" s="4" t="s">
        <v>1311</v>
      </c>
      <c r="F45" s="4" t="s">
        <v>3260</v>
      </c>
      <c r="G45" s="4" t="s">
        <v>3261</v>
      </c>
      <c r="H45" s="4" t="s">
        <v>61</v>
      </c>
      <c r="I45" s="4" t="s">
        <v>66</v>
      </c>
      <c r="J45" s="4" t="s">
        <v>3262</v>
      </c>
      <c r="K45" s="4" t="s">
        <v>3263</v>
      </c>
      <c r="L45" s="5" t="s">
        <v>85</v>
      </c>
      <c r="M45" s="4" t="s">
        <v>85</v>
      </c>
      <c r="N45" s="4" t="s">
        <v>3264</v>
      </c>
      <c r="O45" s="4" t="s">
        <v>3265</v>
      </c>
      <c r="P45" s="4" t="s">
        <v>103</v>
      </c>
      <c r="Q45" s="4" t="s">
        <v>74</v>
      </c>
      <c r="R45" s="4" t="s">
        <v>316</v>
      </c>
      <c r="S45" s="4" t="s">
        <v>3266</v>
      </c>
      <c r="T45" s="4" t="s">
        <v>144</v>
      </c>
      <c r="U45" s="4" t="s">
        <v>3267</v>
      </c>
      <c r="V45" s="4"/>
      <c r="W45" s="4" t="s">
        <v>3268</v>
      </c>
      <c r="X45" s="4"/>
      <c r="Y45" s="4" t="s">
        <v>109</v>
      </c>
    </row>
    <row r="46" customFormat="false" ht="46.25" hidden="false" customHeight="false" outlineLevel="0" collapsed="false">
      <c r="A46" s="4" t="s">
        <v>3269</v>
      </c>
      <c r="B46" s="4" t="s">
        <v>3270</v>
      </c>
      <c r="C46" s="4" t="s">
        <v>3271</v>
      </c>
      <c r="D46" s="4" t="s">
        <v>61</v>
      </c>
      <c r="E46" s="4" t="s">
        <v>1311</v>
      </c>
      <c r="F46" s="4" t="s">
        <v>3272</v>
      </c>
      <c r="G46" s="4" t="s">
        <v>3273</v>
      </c>
      <c r="H46" s="4" t="s">
        <v>61</v>
      </c>
      <c r="I46" s="4" t="s">
        <v>128</v>
      </c>
      <c r="J46" s="4" t="s">
        <v>3274</v>
      </c>
      <c r="K46" s="4" t="s">
        <v>3063</v>
      </c>
      <c r="L46" s="5" t="s">
        <v>85</v>
      </c>
      <c r="M46" s="4" t="s">
        <v>85</v>
      </c>
      <c r="N46" s="4" t="s">
        <v>3275</v>
      </c>
      <c r="O46" s="4" t="s">
        <v>3276</v>
      </c>
      <c r="P46" s="4" t="s">
        <v>72</v>
      </c>
      <c r="Q46" s="4" t="s">
        <v>74</v>
      </c>
      <c r="R46" s="4" t="s">
        <v>3277</v>
      </c>
      <c r="S46" s="4" t="s">
        <v>3278</v>
      </c>
      <c r="T46" s="4" t="s">
        <v>3279</v>
      </c>
      <c r="U46" s="4" t="s">
        <v>3280</v>
      </c>
      <c r="V46" s="4"/>
      <c r="W46" s="4" t="s">
        <v>3281</v>
      </c>
      <c r="X46" s="4" t="s">
        <v>3282</v>
      </c>
      <c r="Y46" s="4" t="s">
        <v>1022</v>
      </c>
    </row>
    <row r="47" customFormat="false" ht="68.65" hidden="false" customHeight="false" outlineLevel="0" collapsed="false">
      <c r="A47" s="4" t="s">
        <v>3283</v>
      </c>
      <c r="B47" s="4" t="s">
        <v>3284</v>
      </c>
      <c r="C47" s="4" t="s">
        <v>3285</v>
      </c>
      <c r="D47" s="4" t="s">
        <v>61</v>
      </c>
      <c r="E47" s="4" t="s">
        <v>1311</v>
      </c>
      <c r="F47" s="4" t="s">
        <v>3286</v>
      </c>
      <c r="G47" s="4" t="s">
        <v>3287</v>
      </c>
      <c r="H47" s="4" t="s">
        <v>65</v>
      </c>
      <c r="I47" s="4" t="s">
        <v>97</v>
      </c>
      <c r="J47" s="4" t="s">
        <v>3288</v>
      </c>
      <c r="K47" s="4" t="s">
        <v>3289</v>
      </c>
      <c r="L47" s="5" t="s">
        <v>85</v>
      </c>
      <c r="M47" s="4" t="s">
        <v>85</v>
      </c>
      <c r="N47" s="4" t="s">
        <v>3290</v>
      </c>
      <c r="O47" s="4" t="s">
        <v>3291</v>
      </c>
      <c r="P47" s="4" t="s">
        <v>103</v>
      </c>
      <c r="Q47" s="4" t="s">
        <v>74</v>
      </c>
      <c r="R47" s="4" t="s">
        <v>74</v>
      </c>
      <c r="S47" s="4" t="s">
        <v>3292</v>
      </c>
      <c r="T47" s="4" t="s">
        <v>3293</v>
      </c>
      <c r="U47" s="4" t="s">
        <v>3294</v>
      </c>
      <c r="V47" s="4"/>
      <c r="W47" s="4" t="s">
        <v>3295</v>
      </c>
      <c r="X47" s="4" t="s">
        <v>3296</v>
      </c>
      <c r="Y47" s="4" t="s">
        <v>109</v>
      </c>
    </row>
    <row r="48" customFormat="false" ht="46.25" hidden="false" customHeight="false" outlineLevel="0" collapsed="false">
      <c r="A48" s="4" t="s">
        <v>3297</v>
      </c>
      <c r="B48" s="4" t="s">
        <v>3298</v>
      </c>
      <c r="C48" s="4" t="s">
        <v>3299</v>
      </c>
      <c r="D48" s="4" t="s">
        <v>61</v>
      </c>
      <c r="E48" s="4" t="s">
        <v>1311</v>
      </c>
      <c r="F48" s="4" t="s">
        <v>3300</v>
      </c>
      <c r="G48" s="4" t="s">
        <v>3301</v>
      </c>
      <c r="H48" s="4" t="s">
        <v>65</v>
      </c>
      <c r="I48" s="4" t="s">
        <v>3062</v>
      </c>
      <c r="J48" s="4" t="s">
        <v>3062</v>
      </c>
      <c r="K48" s="4" t="s">
        <v>3302</v>
      </c>
      <c r="L48" s="6" t="s">
        <v>221</v>
      </c>
      <c r="M48" s="4" t="s">
        <v>3303</v>
      </c>
      <c r="N48" s="4" t="s">
        <v>3304</v>
      </c>
      <c r="O48" s="4" t="s">
        <v>3066</v>
      </c>
      <c r="P48" s="4" t="s">
        <v>72</v>
      </c>
      <c r="Q48" s="4" t="s">
        <v>74</v>
      </c>
      <c r="R48" s="4" t="s">
        <v>74</v>
      </c>
      <c r="S48" s="4" t="s">
        <v>3305</v>
      </c>
      <c r="T48" s="4" t="s">
        <v>3306</v>
      </c>
      <c r="U48" s="4" t="s">
        <v>3307</v>
      </c>
      <c r="V48" s="4"/>
      <c r="W48" s="4" t="s">
        <v>3308</v>
      </c>
      <c r="X48" s="4"/>
      <c r="Y48" s="4" t="s">
        <v>1319</v>
      </c>
    </row>
    <row r="49" customFormat="false" ht="46.25" hidden="false" customHeight="false" outlineLevel="0" collapsed="false">
      <c r="A49" s="4" t="s">
        <v>3309</v>
      </c>
      <c r="B49" s="4" t="s">
        <v>3310</v>
      </c>
      <c r="C49" s="4" t="s">
        <v>3311</v>
      </c>
      <c r="D49" s="4" t="s">
        <v>61</v>
      </c>
      <c r="E49" s="4" t="s">
        <v>1311</v>
      </c>
      <c r="F49" s="4" t="s">
        <v>3312</v>
      </c>
      <c r="G49" s="4" t="s">
        <v>3313</v>
      </c>
      <c r="H49" s="4" t="s">
        <v>65</v>
      </c>
      <c r="I49" s="4" t="s">
        <v>128</v>
      </c>
      <c r="J49" s="4" t="s">
        <v>3314</v>
      </c>
      <c r="K49" s="4" t="s">
        <v>3315</v>
      </c>
      <c r="L49" s="6" t="s">
        <v>221</v>
      </c>
      <c r="M49" s="4" t="s">
        <v>3316</v>
      </c>
      <c r="N49" s="4" t="s">
        <v>3317</v>
      </c>
      <c r="O49" s="4" t="s">
        <v>3318</v>
      </c>
      <c r="P49" s="4" t="s">
        <v>72</v>
      </c>
      <c r="Q49" s="4" t="s">
        <v>316</v>
      </c>
      <c r="R49" s="4" t="s">
        <v>74</v>
      </c>
      <c r="S49" s="4" t="s">
        <v>3319</v>
      </c>
      <c r="T49" s="4" t="s">
        <v>3320</v>
      </c>
      <c r="U49" s="4" t="s">
        <v>3321</v>
      </c>
      <c r="V49" s="4"/>
      <c r="W49" s="4" t="s">
        <v>3069</v>
      </c>
      <c r="X49" s="4"/>
      <c r="Y49" s="4" t="s">
        <v>1319</v>
      </c>
    </row>
    <row r="50" customFormat="false" ht="35.05" hidden="false" customHeight="false" outlineLevel="0" collapsed="false">
      <c r="A50" s="4" t="s">
        <v>3322</v>
      </c>
      <c r="B50" s="4" t="s">
        <v>3323</v>
      </c>
      <c r="C50" s="4" t="s">
        <v>3324</v>
      </c>
      <c r="D50" s="4" t="s">
        <v>61</v>
      </c>
      <c r="E50" s="4" t="s">
        <v>1311</v>
      </c>
      <c r="F50" s="4" t="s">
        <v>3325</v>
      </c>
      <c r="G50" s="4" t="s">
        <v>3326</v>
      </c>
      <c r="H50" s="4" t="s">
        <v>65</v>
      </c>
      <c r="I50" s="4" t="s">
        <v>128</v>
      </c>
      <c r="J50" s="4" t="s">
        <v>3327</v>
      </c>
      <c r="K50" s="4" t="s">
        <v>3328</v>
      </c>
      <c r="L50" s="6" t="s">
        <v>221</v>
      </c>
      <c r="M50" s="4" t="s">
        <v>3329</v>
      </c>
      <c r="N50" s="4" t="s">
        <v>3304</v>
      </c>
      <c r="O50" s="4" t="s">
        <v>3066</v>
      </c>
      <c r="P50" s="4" t="s">
        <v>72</v>
      </c>
      <c r="Q50" s="4" t="s">
        <v>74</v>
      </c>
      <c r="R50" s="4" t="s">
        <v>74</v>
      </c>
      <c r="S50" s="4" t="s">
        <v>3330</v>
      </c>
      <c r="T50" s="4" t="s">
        <v>3331</v>
      </c>
      <c r="U50" s="4" t="s">
        <v>3332</v>
      </c>
      <c r="V50" s="4"/>
      <c r="W50" s="4" t="s">
        <v>3333</v>
      </c>
      <c r="X50" s="4"/>
      <c r="Y50" s="4" t="s">
        <v>1319</v>
      </c>
    </row>
    <row r="51" customFormat="false" ht="23.85" hidden="false" customHeight="false" outlineLevel="0" collapsed="false">
      <c r="A51" s="4" t="s">
        <v>3334</v>
      </c>
      <c r="B51" s="4" t="s">
        <v>3335</v>
      </c>
      <c r="C51" s="4" t="s">
        <v>3336</v>
      </c>
      <c r="D51" s="4" t="s">
        <v>61</v>
      </c>
      <c r="E51" s="4" t="s">
        <v>1311</v>
      </c>
      <c r="F51" s="4" t="s">
        <v>3337</v>
      </c>
      <c r="G51" s="4" t="s">
        <v>3338</v>
      </c>
      <c r="H51" s="4" t="s">
        <v>65</v>
      </c>
      <c r="I51" s="4" t="s">
        <v>3075</v>
      </c>
      <c r="J51" s="4" t="s">
        <v>3075</v>
      </c>
      <c r="K51" s="4" t="s">
        <v>3339</v>
      </c>
      <c r="L51" s="5" t="s">
        <v>85</v>
      </c>
      <c r="M51" s="4" t="s">
        <v>85</v>
      </c>
      <c r="N51" s="4" t="s">
        <v>1407</v>
      </c>
      <c r="O51" s="4" t="s">
        <v>3340</v>
      </c>
      <c r="P51" s="4" t="s">
        <v>72</v>
      </c>
      <c r="Q51" s="4" t="s">
        <v>316</v>
      </c>
      <c r="R51" s="4" t="s">
        <v>74</v>
      </c>
      <c r="S51" s="4" t="s">
        <v>660</v>
      </c>
      <c r="T51" s="4" t="s">
        <v>69</v>
      </c>
      <c r="U51" s="4" t="s">
        <v>3341</v>
      </c>
      <c r="V51" s="4"/>
      <c r="W51" s="4" t="s">
        <v>65</v>
      </c>
      <c r="X51" s="4"/>
      <c r="Y51" s="4" t="s">
        <v>1319</v>
      </c>
    </row>
    <row r="52" customFormat="false" ht="35.05" hidden="false" customHeight="false" outlineLevel="0" collapsed="false">
      <c r="A52" s="4" t="s">
        <v>3342</v>
      </c>
      <c r="B52" s="4" t="s">
        <v>3343</v>
      </c>
      <c r="C52" s="4" t="s">
        <v>3344</v>
      </c>
      <c r="D52" s="4" t="s">
        <v>61</v>
      </c>
      <c r="E52" s="4" t="s">
        <v>1311</v>
      </c>
      <c r="F52" s="4" t="s">
        <v>3345</v>
      </c>
      <c r="G52" s="4" t="s">
        <v>3346</v>
      </c>
      <c r="H52" s="4" t="s">
        <v>65</v>
      </c>
      <c r="I52" s="4" t="s">
        <v>3062</v>
      </c>
      <c r="J52" s="4" t="s">
        <v>3062</v>
      </c>
      <c r="K52" s="4" t="s">
        <v>3347</v>
      </c>
      <c r="L52" s="5" t="s">
        <v>85</v>
      </c>
      <c r="M52" s="4" t="s">
        <v>85</v>
      </c>
      <c r="N52" s="4" t="s">
        <v>3348</v>
      </c>
      <c r="O52" s="4" t="s">
        <v>3066</v>
      </c>
      <c r="P52" s="4" t="s">
        <v>72</v>
      </c>
      <c r="Q52" s="4" t="s">
        <v>74</v>
      </c>
      <c r="R52" s="4" t="s">
        <v>74</v>
      </c>
      <c r="S52" s="4" t="s">
        <v>660</v>
      </c>
      <c r="T52" s="4" t="s">
        <v>3349</v>
      </c>
      <c r="U52" s="4" t="s">
        <v>3350</v>
      </c>
      <c r="V52" s="4"/>
      <c r="W52" s="4" t="s">
        <v>65</v>
      </c>
      <c r="X52" s="4"/>
      <c r="Y52" s="4" t="s">
        <v>1319</v>
      </c>
    </row>
    <row r="53" customFormat="false" ht="35.05" hidden="false" customHeight="false" outlineLevel="0" collapsed="false">
      <c r="A53" s="4" t="s">
        <v>3351</v>
      </c>
      <c r="B53" s="4" t="s">
        <v>3352</v>
      </c>
      <c r="C53" s="4" t="s">
        <v>3353</v>
      </c>
      <c r="D53" s="4" t="s">
        <v>61</v>
      </c>
      <c r="E53" s="4" t="s">
        <v>1311</v>
      </c>
      <c r="F53" s="4" t="s">
        <v>3354</v>
      </c>
      <c r="G53" s="4" t="s">
        <v>3355</v>
      </c>
      <c r="H53" s="4" t="s">
        <v>65</v>
      </c>
      <c r="I53" s="4" t="s">
        <v>3062</v>
      </c>
      <c r="J53" s="4" t="s">
        <v>3062</v>
      </c>
      <c r="K53" s="4" t="s">
        <v>3356</v>
      </c>
      <c r="L53" s="6" t="s">
        <v>221</v>
      </c>
      <c r="M53" s="4" t="s">
        <v>3357</v>
      </c>
      <c r="N53" s="4" t="s">
        <v>3358</v>
      </c>
      <c r="O53" s="4" t="s">
        <v>3066</v>
      </c>
      <c r="P53" s="4" t="s">
        <v>72</v>
      </c>
      <c r="Q53" s="4" t="s">
        <v>316</v>
      </c>
      <c r="R53" s="4" t="s">
        <v>3359</v>
      </c>
      <c r="S53" s="4" t="s">
        <v>3360</v>
      </c>
      <c r="T53" s="4" t="s">
        <v>3361</v>
      </c>
      <c r="U53" s="4" t="s">
        <v>3362</v>
      </c>
      <c r="V53" s="4"/>
      <c r="W53" s="4" t="s">
        <v>3069</v>
      </c>
      <c r="X53" s="4"/>
      <c r="Y53" s="4" t="s">
        <v>1022</v>
      </c>
    </row>
    <row r="54" customFormat="false" ht="57.45" hidden="false" customHeight="false" outlineLevel="0" collapsed="false">
      <c r="A54" s="4" t="s">
        <v>3363</v>
      </c>
      <c r="B54" s="4" t="s">
        <v>3364</v>
      </c>
      <c r="C54" s="4" t="s">
        <v>3365</v>
      </c>
      <c r="D54" s="4" t="s">
        <v>61</v>
      </c>
      <c r="E54" s="4" t="s">
        <v>1311</v>
      </c>
      <c r="F54" s="4" t="s">
        <v>3366</v>
      </c>
      <c r="G54" s="4" t="s">
        <v>3367</v>
      </c>
      <c r="H54" s="4" t="s">
        <v>65</v>
      </c>
      <c r="I54" s="4" t="s">
        <v>97</v>
      </c>
      <c r="J54" s="4" t="s">
        <v>3368</v>
      </c>
      <c r="K54" s="4" t="s">
        <v>3369</v>
      </c>
      <c r="L54" s="5" t="s">
        <v>85</v>
      </c>
      <c r="M54" s="4" t="s">
        <v>3370</v>
      </c>
      <c r="N54" s="4" t="s">
        <v>3371</v>
      </c>
      <c r="O54" s="4" t="s">
        <v>3372</v>
      </c>
      <c r="P54" s="4" t="s">
        <v>103</v>
      </c>
      <c r="Q54" s="4" t="s">
        <v>74</v>
      </c>
      <c r="R54" s="4" t="s">
        <v>74</v>
      </c>
      <c r="S54" s="4" t="s">
        <v>3373</v>
      </c>
      <c r="T54" s="4" t="s">
        <v>3374</v>
      </c>
      <c r="U54" s="4" t="s">
        <v>3375</v>
      </c>
      <c r="V54" s="4"/>
      <c r="W54" s="4" t="s">
        <v>3376</v>
      </c>
      <c r="X54" s="4" t="s">
        <v>3377</v>
      </c>
      <c r="Y54" s="4" t="s">
        <v>1319</v>
      </c>
    </row>
    <row r="55" customFormat="false" ht="46.25" hidden="false" customHeight="false" outlineLevel="0" collapsed="false">
      <c r="A55" s="4" t="s">
        <v>3378</v>
      </c>
      <c r="B55" s="4" t="s">
        <v>3379</v>
      </c>
      <c r="C55" s="4" t="s">
        <v>3380</v>
      </c>
      <c r="D55" s="4" t="s">
        <v>61</v>
      </c>
      <c r="E55" s="4" t="s">
        <v>1311</v>
      </c>
      <c r="F55" s="4" t="s">
        <v>3381</v>
      </c>
      <c r="G55" s="4" t="s">
        <v>3382</v>
      </c>
      <c r="H55" s="4" t="s">
        <v>65</v>
      </c>
      <c r="I55" s="4" t="s">
        <v>2764</v>
      </c>
      <c r="J55" s="4" t="s">
        <v>2764</v>
      </c>
      <c r="K55" s="4" t="s">
        <v>3383</v>
      </c>
      <c r="L55" s="5" t="s">
        <v>85</v>
      </c>
      <c r="M55" s="4" t="s">
        <v>85</v>
      </c>
      <c r="N55" s="4" t="s">
        <v>3384</v>
      </c>
      <c r="O55" s="4" t="s">
        <v>3385</v>
      </c>
      <c r="P55" s="4" t="s">
        <v>103</v>
      </c>
      <c r="Q55" s="4" t="s">
        <v>74</v>
      </c>
      <c r="R55" s="4" t="s">
        <v>3386</v>
      </c>
      <c r="S55" s="4" t="s">
        <v>3387</v>
      </c>
      <c r="T55" s="4" t="s">
        <v>69</v>
      </c>
      <c r="U55" s="4" t="s">
        <v>3388</v>
      </c>
      <c r="V55" s="4"/>
      <c r="W55" s="4" t="s">
        <v>3166</v>
      </c>
      <c r="X55" s="4" t="s">
        <v>3081</v>
      </c>
      <c r="Y55" s="4" t="s">
        <v>1022</v>
      </c>
    </row>
    <row r="56" customFormat="false" ht="23.85" hidden="false" customHeight="false" outlineLevel="0" collapsed="false">
      <c r="A56" s="4" t="s">
        <v>3389</v>
      </c>
      <c r="B56" s="4" t="s">
        <v>3390</v>
      </c>
      <c r="C56" s="4" t="s">
        <v>3391</v>
      </c>
      <c r="D56" s="4" t="s">
        <v>61</v>
      </c>
      <c r="E56" s="4" t="s">
        <v>1438</v>
      </c>
      <c r="F56" s="4" t="s">
        <v>3392</v>
      </c>
      <c r="G56" s="4" t="s">
        <v>3393</v>
      </c>
      <c r="H56" s="4" t="s">
        <v>61</v>
      </c>
      <c r="I56" s="4" t="s">
        <v>2764</v>
      </c>
      <c r="J56" s="4" t="s">
        <v>2764</v>
      </c>
      <c r="K56" s="4" t="s">
        <v>85</v>
      </c>
      <c r="L56" s="5" t="s">
        <v>85</v>
      </c>
      <c r="M56" s="4" t="s">
        <v>85</v>
      </c>
      <c r="N56" s="4" t="s">
        <v>85</v>
      </c>
      <c r="O56" s="4" t="s">
        <v>3140</v>
      </c>
      <c r="P56" s="4" t="s">
        <v>72</v>
      </c>
      <c r="Q56" s="4" t="s">
        <v>73</v>
      </c>
      <c r="R56" s="4" t="s">
        <v>74</v>
      </c>
      <c r="S56" s="4" t="s">
        <v>660</v>
      </c>
      <c r="T56" s="4" t="s">
        <v>69</v>
      </c>
      <c r="U56" s="4" t="s">
        <v>69</v>
      </c>
      <c r="V56" s="4" t="s">
        <v>3144</v>
      </c>
      <c r="W56" s="4" t="s">
        <v>61</v>
      </c>
      <c r="X56" s="4" t="s">
        <v>3394</v>
      </c>
      <c r="Y56" s="4" t="s">
        <v>1469</v>
      </c>
    </row>
    <row r="57" customFormat="false" ht="57.45" hidden="false" customHeight="false" outlineLevel="0" collapsed="false">
      <c r="A57" s="4" t="s">
        <v>3395</v>
      </c>
      <c r="B57" s="4" t="s">
        <v>3396</v>
      </c>
      <c r="C57" s="4" t="s">
        <v>3397</v>
      </c>
      <c r="D57" s="4" t="s">
        <v>61</v>
      </c>
      <c r="E57" s="4" t="s">
        <v>1438</v>
      </c>
      <c r="F57" s="4" t="s">
        <v>3398</v>
      </c>
      <c r="G57" s="4" t="s">
        <v>3399</v>
      </c>
      <c r="H57" s="4" t="s">
        <v>61</v>
      </c>
      <c r="I57" s="4" t="s">
        <v>66</v>
      </c>
      <c r="J57" s="4" t="s">
        <v>3400</v>
      </c>
      <c r="K57" s="4" t="s">
        <v>3401</v>
      </c>
      <c r="L57" s="6" t="s">
        <v>221</v>
      </c>
      <c r="M57" s="4" t="s">
        <v>3402</v>
      </c>
      <c r="N57" s="4" t="s">
        <v>3403</v>
      </c>
      <c r="O57" s="4" t="s">
        <v>3404</v>
      </c>
      <c r="P57" s="4" t="s">
        <v>72</v>
      </c>
      <c r="Q57" s="4" t="s">
        <v>316</v>
      </c>
      <c r="R57" s="4" t="s">
        <v>74</v>
      </c>
      <c r="S57" s="4" t="s">
        <v>3405</v>
      </c>
      <c r="T57" s="4" t="s">
        <v>144</v>
      </c>
      <c r="U57" s="4" t="s">
        <v>3406</v>
      </c>
      <c r="V57" s="4"/>
      <c r="W57" s="4" t="s">
        <v>61</v>
      </c>
      <c r="X57" s="4" t="s">
        <v>3407</v>
      </c>
      <c r="Y57" s="4" t="s">
        <v>1469</v>
      </c>
    </row>
    <row r="58" customFormat="false" ht="35.05" hidden="false" customHeight="false" outlineLevel="0" collapsed="false">
      <c r="A58" s="4" t="s">
        <v>3408</v>
      </c>
      <c r="B58" s="4" t="s">
        <v>3409</v>
      </c>
      <c r="C58" s="4" t="s">
        <v>3410</v>
      </c>
      <c r="D58" s="4" t="s">
        <v>61</v>
      </c>
      <c r="E58" s="4" t="s">
        <v>1964</v>
      </c>
      <c r="F58" s="4" t="s">
        <v>3411</v>
      </c>
      <c r="G58" s="4" t="s">
        <v>3412</v>
      </c>
      <c r="H58" s="4" t="s">
        <v>65</v>
      </c>
      <c r="I58" s="4" t="s">
        <v>66</v>
      </c>
      <c r="J58" s="4" t="s">
        <v>3413</v>
      </c>
      <c r="K58" s="4" t="s">
        <v>3414</v>
      </c>
      <c r="L58" s="5" t="s">
        <v>85</v>
      </c>
      <c r="M58" s="4" t="s">
        <v>85</v>
      </c>
      <c r="N58" s="4" t="s">
        <v>3415</v>
      </c>
      <c r="O58" s="4" t="s">
        <v>3416</v>
      </c>
      <c r="P58" s="4" t="s">
        <v>72</v>
      </c>
      <c r="Q58" s="4" t="s">
        <v>74</v>
      </c>
      <c r="R58" s="4" t="s">
        <v>74</v>
      </c>
      <c r="S58" s="4" t="s">
        <v>3417</v>
      </c>
      <c r="T58" s="4" t="s">
        <v>3418</v>
      </c>
      <c r="U58" s="4" t="s">
        <v>3419</v>
      </c>
      <c r="V58" s="4"/>
      <c r="W58" s="4" t="s">
        <v>3166</v>
      </c>
      <c r="X58" s="4" t="s">
        <v>3420</v>
      </c>
      <c r="Y58" s="4" t="s">
        <v>1648</v>
      </c>
    </row>
    <row r="59" customFormat="false" ht="46.25" hidden="false" customHeight="false" outlineLevel="0" collapsed="false">
      <c r="A59" s="4" t="s">
        <v>3421</v>
      </c>
      <c r="B59" s="4" t="s">
        <v>3422</v>
      </c>
      <c r="C59" s="4" t="s">
        <v>3423</v>
      </c>
      <c r="D59" s="4" t="s">
        <v>61</v>
      </c>
      <c r="E59" s="4" t="s">
        <v>2035</v>
      </c>
      <c r="F59" s="4" t="s">
        <v>3424</v>
      </c>
      <c r="G59" s="4" t="s">
        <v>3425</v>
      </c>
      <c r="H59" s="4" t="s">
        <v>61</v>
      </c>
      <c r="I59" s="4" t="s">
        <v>2764</v>
      </c>
      <c r="J59" s="4" t="s">
        <v>2764</v>
      </c>
      <c r="K59" s="4" t="s">
        <v>85</v>
      </c>
      <c r="L59" s="5" t="s">
        <v>85</v>
      </c>
      <c r="M59" s="4" t="s">
        <v>85</v>
      </c>
      <c r="N59" s="4" t="s">
        <v>85</v>
      </c>
      <c r="O59" s="4" t="s">
        <v>3426</v>
      </c>
      <c r="P59" s="4" t="s">
        <v>72</v>
      </c>
      <c r="Q59" s="4" t="s">
        <v>73</v>
      </c>
      <c r="R59" s="4" t="s">
        <v>74</v>
      </c>
      <c r="S59" s="4" t="s">
        <v>3427</v>
      </c>
      <c r="T59" s="4" t="s">
        <v>144</v>
      </c>
      <c r="U59" s="4" t="s">
        <v>69</v>
      </c>
      <c r="V59" s="4" t="s">
        <v>3428</v>
      </c>
      <c r="W59" s="4" t="s">
        <v>61</v>
      </c>
      <c r="X59" s="4"/>
      <c r="Y59" s="4" t="s">
        <v>517</v>
      </c>
    </row>
    <row r="60" customFormat="false" ht="35.05" hidden="false" customHeight="false" outlineLevel="0" collapsed="false">
      <c r="A60" s="4" t="s">
        <v>3429</v>
      </c>
      <c r="B60" s="4" t="s">
        <v>3430</v>
      </c>
      <c r="C60" s="4" t="s">
        <v>3431</v>
      </c>
      <c r="D60" s="4" t="s">
        <v>61</v>
      </c>
      <c r="E60" s="4" t="s">
        <v>2035</v>
      </c>
      <c r="F60" s="4" t="s">
        <v>3432</v>
      </c>
      <c r="G60" s="4" t="s">
        <v>3433</v>
      </c>
      <c r="H60" s="4" t="s">
        <v>61</v>
      </c>
      <c r="I60" s="4" t="s">
        <v>66</v>
      </c>
      <c r="J60" s="4" t="s">
        <v>3434</v>
      </c>
      <c r="K60" s="4" t="s">
        <v>3435</v>
      </c>
      <c r="L60" s="5" t="s">
        <v>85</v>
      </c>
      <c r="M60" s="4" t="s">
        <v>85</v>
      </c>
      <c r="N60" s="4" t="s">
        <v>85</v>
      </c>
      <c r="O60" s="4" t="s">
        <v>3436</v>
      </c>
      <c r="P60" s="4" t="s">
        <v>72</v>
      </c>
      <c r="Q60" s="4" t="s">
        <v>73</v>
      </c>
      <c r="R60" s="4" t="s">
        <v>316</v>
      </c>
      <c r="S60" s="4" t="s">
        <v>3437</v>
      </c>
      <c r="T60" s="4" t="s">
        <v>144</v>
      </c>
      <c r="U60" s="4" t="s">
        <v>69</v>
      </c>
      <c r="V60" s="4"/>
      <c r="W60" s="4" t="s">
        <v>61</v>
      </c>
      <c r="X60" s="4"/>
      <c r="Y60" s="4" t="s">
        <v>517</v>
      </c>
    </row>
    <row r="61" customFormat="false" ht="23.85" hidden="false" customHeight="false" outlineLevel="0" collapsed="false">
      <c r="A61" s="4" t="s">
        <v>3438</v>
      </c>
      <c r="B61" s="4" t="s">
        <v>3439</v>
      </c>
      <c r="C61" s="4" t="s">
        <v>3440</v>
      </c>
      <c r="D61" s="4" t="s">
        <v>61</v>
      </c>
      <c r="E61" s="4" t="s">
        <v>2035</v>
      </c>
      <c r="F61" s="4" t="s">
        <v>3441</v>
      </c>
      <c r="G61" s="4" t="s">
        <v>3442</v>
      </c>
      <c r="H61" s="4" t="s">
        <v>61</v>
      </c>
      <c r="I61" s="4" t="s">
        <v>2764</v>
      </c>
      <c r="J61" s="4" t="s">
        <v>2764</v>
      </c>
      <c r="K61" s="4" t="s">
        <v>85</v>
      </c>
      <c r="L61" s="5" t="s">
        <v>85</v>
      </c>
      <c r="M61" s="4" t="s">
        <v>85</v>
      </c>
      <c r="N61" s="4" t="s">
        <v>85</v>
      </c>
      <c r="O61" s="4" t="s">
        <v>3443</v>
      </c>
      <c r="P61" s="4" t="s">
        <v>72</v>
      </c>
      <c r="Q61" s="4" t="s">
        <v>73</v>
      </c>
      <c r="R61" s="4" t="s">
        <v>74</v>
      </c>
      <c r="S61" s="4" t="s">
        <v>3444</v>
      </c>
      <c r="T61" s="4" t="s">
        <v>144</v>
      </c>
      <c r="U61" s="4" t="s">
        <v>69</v>
      </c>
      <c r="V61" s="4"/>
      <c r="W61" s="4" t="s">
        <v>61</v>
      </c>
      <c r="X61" s="4" t="s">
        <v>3445</v>
      </c>
      <c r="Y61" s="4" t="s">
        <v>2164</v>
      </c>
    </row>
    <row r="62" customFormat="false" ht="68.65" hidden="false" customHeight="false" outlineLevel="0" collapsed="false">
      <c r="A62" s="4" t="s">
        <v>3446</v>
      </c>
      <c r="B62" s="4" t="s">
        <v>3447</v>
      </c>
      <c r="C62" s="4" t="s">
        <v>3448</v>
      </c>
      <c r="D62" s="4" t="s">
        <v>61</v>
      </c>
      <c r="E62" s="4" t="s">
        <v>2035</v>
      </c>
      <c r="F62" s="4" t="s">
        <v>3449</v>
      </c>
      <c r="G62" s="4" t="s">
        <v>3450</v>
      </c>
      <c r="H62" s="4" t="s">
        <v>65</v>
      </c>
      <c r="I62" s="4" t="s">
        <v>97</v>
      </c>
      <c r="J62" s="4" t="s">
        <v>3451</v>
      </c>
      <c r="K62" s="4" t="s">
        <v>85</v>
      </c>
      <c r="L62" s="5" t="s">
        <v>85</v>
      </c>
      <c r="M62" s="4" t="s">
        <v>85</v>
      </c>
      <c r="N62" s="4" t="s">
        <v>3452</v>
      </c>
      <c r="O62" s="4" t="s">
        <v>3453</v>
      </c>
      <c r="P62" s="4" t="s">
        <v>72</v>
      </c>
      <c r="Q62" s="4" t="s">
        <v>316</v>
      </c>
      <c r="R62" s="4" t="s">
        <v>74</v>
      </c>
      <c r="S62" s="4" t="s">
        <v>3454</v>
      </c>
      <c r="T62" s="4" t="s">
        <v>3455</v>
      </c>
      <c r="U62" s="4" t="s">
        <v>3456</v>
      </c>
      <c r="V62" s="4"/>
      <c r="W62" s="4" t="s">
        <v>3166</v>
      </c>
      <c r="X62" s="4"/>
      <c r="Y62" s="4" t="s">
        <v>1648</v>
      </c>
    </row>
    <row r="63" customFormat="false" ht="46.25" hidden="false" customHeight="false" outlineLevel="0" collapsed="false">
      <c r="A63" s="4" t="s">
        <v>3457</v>
      </c>
      <c r="B63" s="4" t="s">
        <v>3458</v>
      </c>
      <c r="C63" s="4" t="s">
        <v>3459</v>
      </c>
      <c r="D63" s="4" t="s">
        <v>61</v>
      </c>
      <c r="E63" s="4" t="s">
        <v>2035</v>
      </c>
      <c r="F63" s="4" t="s">
        <v>3460</v>
      </c>
      <c r="G63" s="4" t="s">
        <v>3461</v>
      </c>
      <c r="H63" s="4" t="s">
        <v>65</v>
      </c>
      <c r="I63" s="4" t="s">
        <v>66</v>
      </c>
      <c r="J63" s="4" t="s">
        <v>3462</v>
      </c>
      <c r="K63" s="4" t="s">
        <v>3463</v>
      </c>
      <c r="L63" s="5" t="s">
        <v>85</v>
      </c>
      <c r="M63" s="4" t="s">
        <v>85</v>
      </c>
      <c r="N63" s="4" t="s">
        <v>85</v>
      </c>
      <c r="O63" s="4" t="s">
        <v>2826</v>
      </c>
      <c r="P63" s="4" t="s">
        <v>72</v>
      </c>
      <c r="Q63" s="4" t="s">
        <v>73</v>
      </c>
      <c r="R63" s="4" t="s">
        <v>74</v>
      </c>
      <c r="S63" s="4" t="s">
        <v>3464</v>
      </c>
      <c r="T63" s="4" t="s">
        <v>69</v>
      </c>
      <c r="U63" s="4" t="s">
        <v>69</v>
      </c>
      <c r="V63" s="4"/>
      <c r="W63" s="4" t="s">
        <v>3166</v>
      </c>
      <c r="X63" s="4"/>
      <c r="Y63" s="4" t="s">
        <v>1648</v>
      </c>
    </row>
    <row r="64" customFormat="false" ht="46.25" hidden="false" customHeight="false" outlineLevel="0" collapsed="false">
      <c r="A64" s="4" t="s">
        <v>3465</v>
      </c>
      <c r="B64" s="4" t="s">
        <v>3466</v>
      </c>
      <c r="C64" s="4" t="s">
        <v>3467</v>
      </c>
      <c r="D64" s="4" t="s">
        <v>61</v>
      </c>
      <c r="E64" s="4" t="s">
        <v>2035</v>
      </c>
      <c r="F64" s="4" t="s">
        <v>3468</v>
      </c>
      <c r="G64" s="4" t="s">
        <v>3469</v>
      </c>
      <c r="H64" s="4" t="s">
        <v>65</v>
      </c>
      <c r="I64" s="4" t="s">
        <v>66</v>
      </c>
      <c r="J64" s="4" t="s">
        <v>3470</v>
      </c>
      <c r="K64" s="4" t="s">
        <v>3471</v>
      </c>
      <c r="L64" s="5" t="s">
        <v>85</v>
      </c>
      <c r="M64" s="4" t="s">
        <v>85</v>
      </c>
      <c r="N64" s="4" t="s">
        <v>85</v>
      </c>
      <c r="O64" s="4" t="s">
        <v>2826</v>
      </c>
      <c r="P64" s="4" t="s">
        <v>72</v>
      </c>
      <c r="Q64" s="4" t="s">
        <v>73</v>
      </c>
      <c r="R64" s="4" t="s">
        <v>316</v>
      </c>
      <c r="S64" s="4" t="s">
        <v>3472</v>
      </c>
      <c r="T64" s="4" t="s">
        <v>144</v>
      </c>
      <c r="U64" s="4" t="s">
        <v>3473</v>
      </c>
      <c r="V64" s="4"/>
      <c r="W64" s="4" t="s">
        <v>3166</v>
      </c>
      <c r="X64" s="4"/>
      <c r="Y64" s="4" t="s">
        <v>1648</v>
      </c>
    </row>
    <row r="65" customFormat="false" ht="46.25" hidden="false" customHeight="false" outlineLevel="0" collapsed="false">
      <c r="A65" s="4" t="s">
        <v>3474</v>
      </c>
      <c r="B65" s="4" t="s">
        <v>3475</v>
      </c>
      <c r="C65" s="4" t="s">
        <v>3476</v>
      </c>
      <c r="D65" s="4" t="s">
        <v>61</v>
      </c>
      <c r="E65" s="4" t="s">
        <v>2035</v>
      </c>
      <c r="F65" s="4" t="s">
        <v>3477</v>
      </c>
      <c r="G65" s="4" t="s">
        <v>3478</v>
      </c>
      <c r="H65" s="4" t="s">
        <v>61</v>
      </c>
      <c r="I65" s="4" t="s">
        <v>2764</v>
      </c>
      <c r="J65" s="4" t="s">
        <v>2764</v>
      </c>
      <c r="K65" s="4" t="s">
        <v>3479</v>
      </c>
      <c r="L65" s="5" t="s">
        <v>85</v>
      </c>
      <c r="M65" s="4" t="s">
        <v>85</v>
      </c>
      <c r="N65" s="4" t="s">
        <v>2765</v>
      </c>
      <c r="O65" s="4" t="s">
        <v>3480</v>
      </c>
      <c r="P65" s="4" t="s">
        <v>72</v>
      </c>
      <c r="Q65" s="4" t="s">
        <v>316</v>
      </c>
      <c r="R65" s="4" t="s">
        <v>74</v>
      </c>
      <c r="S65" s="4" t="s">
        <v>3481</v>
      </c>
      <c r="T65" s="4" t="s">
        <v>69</v>
      </c>
      <c r="U65" s="4" t="s">
        <v>69</v>
      </c>
      <c r="V65" s="4"/>
      <c r="W65" s="4" t="s">
        <v>3482</v>
      </c>
      <c r="X65" s="4" t="s">
        <v>3483</v>
      </c>
      <c r="Y65" s="4" t="s">
        <v>1648</v>
      </c>
    </row>
    <row r="66" customFormat="false" ht="57.45" hidden="false" customHeight="false" outlineLevel="0" collapsed="false">
      <c r="A66" s="4" t="s">
        <v>3484</v>
      </c>
      <c r="B66" s="4" t="s">
        <v>3485</v>
      </c>
      <c r="C66" s="4" t="s">
        <v>3486</v>
      </c>
      <c r="D66" s="4" t="s">
        <v>61</v>
      </c>
      <c r="E66" s="4" t="s">
        <v>2035</v>
      </c>
      <c r="F66" s="4" t="s">
        <v>3487</v>
      </c>
      <c r="G66" s="4" t="s">
        <v>3488</v>
      </c>
      <c r="H66" s="4" t="s">
        <v>61</v>
      </c>
      <c r="I66" s="4" t="s">
        <v>66</v>
      </c>
      <c r="J66" s="4" t="s">
        <v>3489</v>
      </c>
      <c r="K66" s="4" t="s">
        <v>3490</v>
      </c>
      <c r="L66" s="5" t="s">
        <v>85</v>
      </c>
      <c r="M66" s="4" t="s">
        <v>2525</v>
      </c>
      <c r="N66" s="4" t="s">
        <v>85</v>
      </c>
      <c r="O66" s="4" t="s">
        <v>3491</v>
      </c>
      <c r="P66" s="4" t="s">
        <v>103</v>
      </c>
      <c r="Q66" s="4" t="s">
        <v>74</v>
      </c>
      <c r="R66" s="4" t="s">
        <v>74</v>
      </c>
      <c r="S66" s="4" t="s">
        <v>3492</v>
      </c>
      <c r="T66" s="4" t="s">
        <v>144</v>
      </c>
      <c r="U66" s="4" t="s">
        <v>3493</v>
      </c>
      <c r="V66" s="4" t="s">
        <v>3494</v>
      </c>
      <c r="W66" s="4" t="s">
        <v>3495</v>
      </c>
      <c r="X66" s="4"/>
      <c r="Y66" s="4" t="s">
        <v>1036</v>
      </c>
    </row>
    <row r="67" customFormat="false" ht="91" hidden="false" customHeight="false" outlineLevel="0" collapsed="false">
      <c r="A67" s="4" t="s">
        <v>3496</v>
      </c>
      <c r="B67" s="4" t="s">
        <v>3497</v>
      </c>
      <c r="C67" s="4" t="s">
        <v>3498</v>
      </c>
      <c r="D67" s="4" t="s">
        <v>61</v>
      </c>
      <c r="E67" s="4" t="s">
        <v>2035</v>
      </c>
      <c r="F67" s="4" t="s">
        <v>3499</v>
      </c>
      <c r="G67" s="4" t="s">
        <v>3500</v>
      </c>
      <c r="H67" s="4" t="s">
        <v>65</v>
      </c>
      <c r="I67" s="4" t="s">
        <v>128</v>
      </c>
      <c r="J67" s="4" t="s">
        <v>3501</v>
      </c>
      <c r="K67" s="4" t="s">
        <v>3502</v>
      </c>
      <c r="L67" s="5" t="s">
        <v>85</v>
      </c>
      <c r="M67" s="4" t="s">
        <v>2525</v>
      </c>
      <c r="N67" s="4" t="s">
        <v>85</v>
      </c>
      <c r="O67" s="4" t="s">
        <v>3503</v>
      </c>
      <c r="P67" s="4" t="s">
        <v>72</v>
      </c>
      <c r="Q67" s="4" t="s">
        <v>73</v>
      </c>
      <c r="R67" s="4" t="s">
        <v>74</v>
      </c>
      <c r="S67" s="4" t="s">
        <v>3504</v>
      </c>
      <c r="T67" s="4" t="s">
        <v>3505</v>
      </c>
      <c r="U67" s="4" t="s">
        <v>3506</v>
      </c>
      <c r="V67" s="4"/>
      <c r="W67" s="4" t="s">
        <v>3507</v>
      </c>
      <c r="X67" s="4"/>
      <c r="Y67" s="4" t="s">
        <v>517</v>
      </c>
    </row>
    <row r="68" customFormat="false" ht="68.65" hidden="false" customHeight="false" outlineLevel="0" collapsed="false">
      <c r="A68" s="4" t="s">
        <v>3508</v>
      </c>
      <c r="B68" s="4" t="s">
        <v>3509</v>
      </c>
      <c r="C68" s="4" t="s">
        <v>3510</v>
      </c>
      <c r="D68" s="4" t="s">
        <v>61</v>
      </c>
      <c r="E68" s="4" t="s">
        <v>2035</v>
      </c>
      <c r="F68" s="4" t="s">
        <v>3511</v>
      </c>
      <c r="G68" s="4" t="s">
        <v>3512</v>
      </c>
      <c r="H68" s="4" t="s">
        <v>65</v>
      </c>
      <c r="I68" s="4" t="s">
        <v>66</v>
      </c>
      <c r="J68" s="4" t="s">
        <v>3513</v>
      </c>
      <c r="K68" s="4" t="s">
        <v>85</v>
      </c>
      <c r="L68" s="5" t="s">
        <v>85</v>
      </c>
      <c r="M68" s="4" t="s">
        <v>85</v>
      </c>
      <c r="N68" s="4" t="s">
        <v>85</v>
      </c>
      <c r="O68" s="4" t="s">
        <v>3514</v>
      </c>
      <c r="P68" s="4" t="s">
        <v>72</v>
      </c>
      <c r="Q68" s="4" t="s">
        <v>73</v>
      </c>
      <c r="R68" s="4" t="s">
        <v>74</v>
      </c>
      <c r="S68" s="4" t="s">
        <v>3515</v>
      </c>
      <c r="T68" s="4" t="s">
        <v>144</v>
      </c>
      <c r="U68" s="4" t="s">
        <v>3516</v>
      </c>
      <c r="V68" s="4" t="s">
        <v>3517</v>
      </c>
      <c r="W68" s="4" t="s">
        <v>3518</v>
      </c>
      <c r="X68" s="4" t="s">
        <v>3519</v>
      </c>
      <c r="Y68" s="4" t="s">
        <v>517</v>
      </c>
    </row>
    <row r="69" customFormat="false" ht="23.85" hidden="false" customHeight="false" outlineLevel="0" collapsed="false">
      <c r="A69" s="4" t="s">
        <v>3520</v>
      </c>
      <c r="B69" s="4" t="s">
        <v>3521</v>
      </c>
      <c r="C69" s="4" t="s">
        <v>3522</v>
      </c>
      <c r="D69" s="4" t="s">
        <v>61</v>
      </c>
      <c r="E69" s="4" t="s">
        <v>2035</v>
      </c>
      <c r="F69" s="4" t="s">
        <v>3523</v>
      </c>
      <c r="G69" s="4" t="s">
        <v>3524</v>
      </c>
      <c r="H69" s="4" t="s">
        <v>65</v>
      </c>
      <c r="I69" s="4" t="s">
        <v>128</v>
      </c>
      <c r="J69" s="4" t="s">
        <v>3525</v>
      </c>
      <c r="K69" s="4" t="s">
        <v>85</v>
      </c>
      <c r="L69" s="5" t="s">
        <v>85</v>
      </c>
      <c r="M69" s="4" t="s">
        <v>85</v>
      </c>
      <c r="N69" s="4" t="s">
        <v>85</v>
      </c>
      <c r="O69" s="4" t="s">
        <v>2814</v>
      </c>
      <c r="P69" s="4" t="s">
        <v>72</v>
      </c>
      <c r="Q69" s="4" t="s">
        <v>73</v>
      </c>
      <c r="R69" s="4" t="s">
        <v>74</v>
      </c>
      <c r="S69" s="4" t="s">
        <v>660</v>
      </c>
      <c r="T69" s="4" t="s">
        <v>3526</v>
      </c>
      <c r="U69" s="4" t="s">
        <v>3527</v>
      </c>
      <c r="V69" s="4"/>
      <c r="W69" s="4" t="s">
        <v>3528</v>
      </c>
      <c r="X69" s="4"/>
      <c r="Y69" s="4" t="s">
        <v>517</v>
      </c>
    </row>
    <row r="70" customFormat="false" ht="57.45" hidden="false" customHeight="false" outlineLevel="0" collapsed="false">
      <c r="A70" s="4" t="s">
        <v>3529</v>
      </c>
      <c r="B70" s="4" t="s">
        <v>3530</v>
      </c>
      <c r="C70" s="4" t="s">
        <v>3531</v>
      </c>
      <c r="D70" s="4" t="s">
        <v>61</v>
      </c>
      <c r="E70" s="4" t="s">
        <v>2035</v>
      </c>
      <c r="F70" s="4" t="s">
        <v>3532</v>
      </c>
      <c r="G70" s="4" t="s">
        <v>3533</v>
      </c>
      <c r="H70" s="4" t="s">
        <v>61</v>
      </c>
      <c r="I70" s="4" t="s">
        <v>128</v>
      </c>
      <c r="J70" s="4" t="s">
        <v>3534</v>
      </c>
      <c r="K70" s="4" t="s">
        <v>85</v>
      </c>
      <c r="L70" s="5" t="s">
        <v>85</v>
      </c>
      <c r="M70" s="4" t="s">
        <v>85</v>
      </c>
      <c r="N70" s="4" t="s">
        <v>3535</v>
      </c>
      <c r="O70" s="4" t="s">
        <v>3536</v>
      </c>
      <c r="P70" s="4" t="s">
        <v>72</v>
      </c>
      <c r="Q70" s="4" t="s">
        <v>73</v>
      </c>
      <c r="R70" s="4" t="s">
        <v>74</v>
      </c>
      <c r="S70" s="4" t="s">
        <v>3537</v>
      </c>
      <c r="T70" s="4" t="s">
        <v>3538</v>
      </c>
      <c r="U70" s="4" t="s">
        <v>3539</v>
      </c>
      <c r="V70" s="4"/>
      <c r="W70" s="4" t="s">
        <v>3540</v>
      </c>
      <c r="X70" s="4" t="s">
        <v>3541</v>
      </c>
      <c r="Y70" s="4" t="s">
        <v>517</v>
      </c>
    </row>
    <row r="71" customFormat="false" ht="102.2" hidden="false" customHeight="false" outlineLevel="0" collapsed="false">
      <c r="A71" s="4" t="s">
        <v>3542</v>
      </c>
      <c r="B71" s="4" t="s">
        <v>3543</v>
      </c>
      <c r="C71" s="4" t="s">
        <v>3544</v>
      </c>
      <c r="D71" s="4" t="s">
        <v>61</v>
      </c>
      <c r="E71" s="4" t="s">
        <v>2035</v>
      </c>
      <c r="F71" s="4" t="s">
        <v>3545</v>
      </c>
      <c r="G71" s="4" t="s">
        <v>3546</v>
      </c>
      <c r="H71" s="4" t="s">
        <v>65</v>
      </c>
      <c r="I71" s="4" t="s">
        <v>97</v>
      </c>
      <c r="J71" s="4" t="s">
        <v>3547</v>
      </c>
      <c r="K71" s="4" t="s">
        <v>3548</v>
      </c>
      <c r="L71" s="5" t="s">
        <v>85</v>
      </c>
      <c r="M71" s="4" t="s">
        <v>3549</v>
      </c>
      <c r="N71" s="4" t="s">
        <v>3550</v>
      </c>
      <c r="O71" s="4" t="s">
        <v>3551</v>
      </c>
      <c r="P71" s="4" t="s">
        <v>103</v>
      </c>
      <c r="Q71" s="4" t="s">
        <v>74</v>
      </c>
      <c r="R71" s="4" t="s">
        <v>74</v>
      </c>
      <c r="S71" s="4" t="s">
        <v>3552</v>
      </c>
      <c r="T71" s="4" t="s">
        <v>3553</v>
      </c>
      <c r="U71" s="4" t="s">
        <v>3554</v>
      </c>
      <c r="V71" s="4"/>
      <c r="W71" s="4" t="s">
        <v>3555</v>
      </c>
      <c r="X71" s="4" t="s">
        <v>3556</v>
      </c>
      <c r="Y71" s="4" t="s">
        <v>1166</v>
      </c>
    </row>
    <row r="72" customFormat="false" ht="79.85" hidden="false" customHeight="false" outlineLevel="0" collapsed="false">
      <c r="A72" s="4" t="s">
        <v>3557</v>
      </c>
      <c r="B72" s="4" t="s">
        <v>3558</v>
      </c>
      <c r="C72" s="4" t="s">
        <v>3559</v>
      </c>
      <c r="D72" s="4" t="s">
        <v>61</v>
      </c>
      <c r="E72" s="4" t="s">
        <v>2035</v>
      </c>
      <c r="F72" s="4" t="s">
        <v>3560</v>
      </c>
      <c r="G72" s="4" t="s">
        <v>3561</v>
      </c>
      <c r="H72" s="4" t="s">
        <v>65</v>
      </c>
      <c r="I72" s="4" t="s">
        <v>66</v>
      </c>
      <c r="J72" s="4" t="s">
        <v>3562</v>
      </c>
      <c r="K72" s="4" t="s">
        <v>3563</v>
      </c>
      <c r="L72" s="5" t="s">
        <v>85</v>
      </c>
      <c r="M72" s="4" t="s">
        <v>85</v>
      </c>
      <c r="N72" s="4" t="s">
        <v>3564</v>
      </c>
      <c r="O72" s="4" t="s">
        <v>3565</v>
      </c>
      <c r="P72" s="4" t="s">
        <v>854</v>
      </c>
      <c r="Q72" s="4" t="s">
        <v>74</v>
      </c>
      <c r="R72" s="4" t="s">
        <v>3566</v>
      </c>
      <c r="S72" s="4" t="s">
        <v>3567</v>
      </c>
      <c r="T72" s="4" t="s">
        <v>144</v>
      </c>
      <c r="U72" s="4" t="s">
        <v>3568</v>
      </c>
      <c r="V72" s="4" t="s">
        <v>3569</v>
      </c>
      <c r="W72" s="4" t="s">
        <v>3570</v>
      </c>
      <c r="X72" s="4" t="s">
        <v>3571</v>
      </c>
      <c r="Y72" s="4" t="s">
        <v>1319</v>
      </c>
    </row>
    <row r="73" customFormat="false" ht="79.85" hidden="false" customHeight="false" outlineLevel="0" collapsed="false">
      <c r="A73" s="4" t="s">
        <v>3572</v>
      </c>
      <c r="B73" s="4" t="s">
        <v>3573</v>
      </c>
      <c r="C73" s="4" t="s">
        <v>3574</v>
      </c>
      <c r="D73" s="4" t="s">
        <v>61</v>
      </c>
      <c r="E73" s="4" t="s">
        <v>2035</v>
      </c>
      <c r="F73" s="4" t="s">
        <v>3575</v>
      </c>
      <c r="G73" s="4" t="s">
        <v>3576</v>
      </c>
      <c r="H73" s="4" t="s">
        <v>65</v>
      </c>
      <c r="I73" s="4" t="s">
        <v>66</v>
      </c>
      <c r="J73" s="4" t="s">
        <v>3577</v>
      </c>
      <c r="K73" s="4" t="s">
        <v>85</v>
      </c>
      <c r="L73" s="5" t="s">
        <v>85</v>
      </c>
      <c r="M73" s="4" t="s">
        <v>2525</v>
      </c>
      <c r="N73" s="4" t="s">
        <v>85</v>
      </c>
      <c r="O73" s="4" t="s">
        <v>3578</v>
      </c>
      <c r="P73" s="4" t="s">
        <v>72</v>
      </c>
      <c r="Q73" s="4" t="s">
        <v>316</v>
      </c>
      <c r="R73" s="4" t="s">
        <v>74</v>
      </c>
      <c r="S73" s="4" t="s">
        <v>3579</v>
      </c>
      <c r="T73" s="4" t="s">
        <v>3580</v>
      </c>
      <c r="U73" s="4" t="s">
        <v>3581</v>
      </c>
      <c r="V73" s="4" t="s">
        <v>3582</v>
      </c>
      <c r="W73" s="4" t="s">
        <v>3583</v>
      </c>
      <c r="X73" s="4" t="s">
        <v>3584</v>
      </c>
      <c r="Y73" s="4" t="s">
        <v>213</v>
      </c>
    </row>
    <row r="74" customFormat="false" ht="35.05" hidden="false" customHeight="false" outlineLevel="0" collapsed="false">
      <c r="A74" s="4" t="s">
        <v>3585</v>
      </c>
      <c r="B74" s="4" t="s">
        <v>3586</v>
      </c>
      <c r="C74" s="4" t="s">
        <v>3587</v>
      </c>
      <c r="D74" s="4" t="s">
        <v>61</v>
      </c>
      <c r="E74" s="4" t="s">
        <v>2035</v>
      </c>
      <c r="F74" s="4" t="s">
        <v>3588</v>
      </c>
      <c r="G74" s="4" t="s">
        <v>3589</v>
      </c>
      <c r="H74" s="4" t="s">
        <v>61</v>
      </c>
      <c r="I74" s="4" t="s">
        <v>2764</v>
      </c>
      <c r="J74" s="4" t="s">
        <v>2764</v>
      </c>
      <c r="K74" s="4" t="s">
        <v>85</v>
      </c>
      <c r="L74" s="5" t="s">
        <v>85</v>
      </c>
      <c r="M74" s="4" t="s">
        <v>85</v>
      </c>
      <c r="N74" s="4" t="s">
        <v>85</v>
      </c>
      <c r="O74" s="4" t="s">
        <v>2826</v>
      </c>
      <c r="P74" s="4" t="s">
        <v>72</v>
      </c>
      <c r="Q74" s="4" t="s">
        <v>73</v>
      </c>
      <c r="R74" s="4" t="s">
        <v>74</v>
      </c>
      <c r="S74" s="4" t="s">
        <v>3590</v>
      </c>
      <c r="T74" s="4" t="s">
        <v>144</v>
      </c>
      <c r="U74" s="4" t="s">
        <v>3591</v>
      </c>
      <c r="V74" s="4"/>
      <c r="W74" s="4" t="s">
        <v>61</v>
      </c>
      <c r="X74" s="4"/>
      <c r="Y74" s="4" t="s">
        <v>213</v>
      </c>
    </row>
    <row r="75" customFormat="false" ht="46.25" hidden="false" customHeight="false" outlineLevel="0" collapsed="false">
      <c r="A75" s="4" t="s">
        <v>3592</v>
      </c>
      <c r="B75" s="4" t="s">
        <v>3593</v>
      </c>
      <c r="C75" s="4" t="s">
        <v>3594</v>
      </c>
      <c r="D75" s="4" t="s">
        <v>61</v>
      </c>
      <c r="E75" s="4" t="s">
        <v>2035</v>
      </c>
      <c r="F75" s="4" t="s">
        <v>3595</v>
      </c>
      <c r="G75" s="4" t="s">
        <v>3596</v>
      </c>
      <c r="H75" s="4" t="s">
        <v>61</v>
      </c>
      <c r="I75" s="4" t="s">
        <v>3062</v>
      </c>
      <c r="J75" s="4" t="s">
        <v>3062</v>
      </c>
      <c r="K75" s="4" t="s">
        <v>3597</v>
      </c>
      <c r="L75" s="5" t="s">
        <v>85</v>
      </c>
      <c r="M75" s="4" t="s">
        <v>3598</v>
      </c>
      <c r="N75" s="4" t="s">
        <v>85</v>
      </c>
      <c r="O75" s="4" t="s">
        <v>3599</v>
      </c>
      <c r="P75" s="4" t="s">
        <v>72</v>
      </c>
      <c r="Q75" s="4" t="s">
        <v>316</v>
      </c>
      <c r="R75" s="4" t="s">
        <v>74</v>
      </c>
      <c r="S75" s="4" t="s">
        <v>3600</v>
      </c>
      <c r="T75" s="4" t="s">
        <v>3601</v>
      </c>
      <c r="U75" s="4" t="s">
        <v>3602</v>
      </c>
      <c r="V75" s="4"/>
      <c r="W75" s="4" t="s">
        <v>3603</v>
      </c>
      <c r="X75" s="4" t="s">
        <v>3604</v>
      </c>
      <c r="Y75" s="4" t="s">
        <v>1648</v>
      </c>
    </row>
    <row r="76" customFormat="false" ht="68.65" hidden="false" customHeight="false" outlineLevel="0" collapsed="false">
      <c r="A76" s="4" t="s">
        <v>3605</v>
      </c>
      <c r="B76" s="4" t="s">
        <v>3606</v>
      </c>
      <c r="C76" s="4" t="s">
        <v>3607</v>
      </c>
      <c r="D76" s="4" t="s">
        <v>61</v>
      </c>
      <c r="E76" s="4" t="s">
        <v>2035</v>
      </c>
      <c r="F76" s="4" t="s">
        <v>3608</v>
      </c>
      <c r="G76" s="4" t="s">
        <v>3609</v>
      </c>
      <c r="H76" s="4" t="s">
        <v>65</v>
      </c>
      <c r="I76" s="4" t="s">
        <v>66</v>
      </c>
      <c r="J76" s="4" t="s">
        <v>3610</v>
      </c>
      <c r="K76" s="4" t="s">
        <v>3611</v>
      </c>
      <c r="L76" s="5" t="s">
        <v>85</v>
      </c>
      <c r="M76" s="4" t="s">
        <v>85</v>
      </c>
      <c r="N76" s="4" t="s">
        <v>3612</v>
      </c>
      <c r="O76" s="4" t="s">
        <v>3613</v>
      </c>
      <c r="P76" s="4" t="s">
        <v>103</v>
      </c>
      <c r="Q76" s="4" t="s">
        <v>74</v>
      </c>
      <c r="R76" s="4" t="s">
        <v>74</v>
      </c>
      <c r="S76" s="4" t="s">
        <v>3614</v>
      </c>
      <c r="T76" s="4" t="s">
        <v>3615</v>
      </c>
      <c r="U76" s="4" t="s">
        <v>3616</v>
      </c>
      <c r="V76" s="4"/>
      <c r="W76" s="4" t="s">
        <v>3617</v>
      </c>
      <c r="X76" s="4" t="s">
        <v>3618</v>
      </c>
      <c r="Y76" s="4" t="s">
        <v>1648</v>
      </c>
    </row>
    <row r="77" customFormat="false" ht="46.25" hidden="false" customHeight="false" outlineLevel="0" collapsed="false">
      <c r="A77" s="4" t="s">
        <v>3619</v>
      </c>
      <c r="B77" s="4" t="s">
        <v>3620</v>
      </c>
      <c r="C77" s="4" t="s">
        <v>3621</v>
      </c>
      <c r="D77" s="4" t="s">
        <v>61</v>
      </c>
      <c r="E77" s="4" t="s">
        <v>2035</v>
      </c>
      <c r="F77" s="4" t="s">
        <v>3622</v>
      </c>
      <c r="G77" s="4" t="s">
        <v>3623</v>
      </c>
      <c r="H77" s="4" t="s">
        <v>65</v>
      </c>
      <c r="I77" s="4" t="s">
        <v>2764</v>
      </c>
      <c r="J77" s="4" t="s">
        <v>2764</v>
      </c>
      <c r="K77" s="4" t="s">
        <v>3597</v>
      </c>
      <c r="L77" s="5" t="s">
        <v>85</v>
      </c>
      <c r="M77" s="4" t="s">
        <v>85</v>
      </c>
      <c r="N77" s="4" t="s">
        <v>85</v>
      </c>
      <c r="O77" s="4" t="s">
        <v>2826</v>
      </c>
      <c r="P77" s="4" t="s">
        <v>72</v>
      </c>
      <c r="Q77" s="4" t="s">
        <v>316</v>
      </c>
      <c r="R77" s="4" t="s">
        <v>74</v>
      </c>
      <c r="S77" s="4" t="s">
        <v>3624</v>
      </c>
      <c r="T77" s="4" t="s">
        <v>144</v>
      </c>
      <c r="U77" s="4" t="s">
        <v>3625</v>
      </c>
      <c r="V77" s="4"/>
      <c r="W77" s="4" t="s">
        <v>3626</v>
      </c>
      <c r="X77" s="4" t="s">
        <v>3627</v>
      </c>
      <c r="Y77" s="4" t="s">
        <v>517</v>
      </c>
    </row>
    <row r="78" customFormat="false" ht="35.05" hidden="false" customHeight="false" outlineLevel="0" collapsed="false">
      <c r="A78" s="4" t="s">
        <v>3628</v>
      </c>
      <c r="B78" s="4" t="s">
        <v>3629</v>
      </c>
      <c r="C78" s="4" t="s">
        <v>3630</v>
      </c>
      <c r="D78" s="4" t="s">
        <v>61</v>
      </c>
      <c r="E78" s="4" t="s">
        <v>2035</v>
      </c>
      <c r="F78" s="4" t="s">
        <v>3631</v>
      </c>
      <c r="G78" s="4" t="s">
        <v>3632</v>
      </c>
      <c r="H78" s="4" t="s">
        <v>65</v>
      </c>
      <c r="I78" s="4" t="s">
        <v>2764</v>
      </c>
      <c r="J78" s="4" t="s">
        <v>2764</v>
      </c>
      <c r="K78" s="4" t="s">
        <v>85</v>
      </c>
      <c r="L78" s="5" t="s">
        <v>85</v>
      </c>
      <c r="M78" s="4" t="s">
        <v>85</v>
      </c>
      <c r="N78" s="4" t="s">
        <v>85</v>
      </c>
      <c r="O78" s="4" t="s">
        <v>2826</v>
      </c>
      <c r="P78" s="4" t="s">
        <v>72</v>
      </c>
      <c r="Q78" s="4" t="s">
        <v>73</v>
      </c>
      <c r="R78" s="4" t="s">
        <v>74</v>
      </c>
      <c r="S78" s="4" t="s">
        <v>3633</v>
      </c>
      <c r="T78" s="4" t="s">
        <v>144</v>
      </c>
      <c r="U78" s="4" t="s">
        <v>3634</v>
      </c>
      <c r="V78" s="4"/>
      <c r="W78" s="4" t="s">
        <v>65</v>
      </c>
      <c r="X78" s="4" t="s">
        <v>3519</v>
      </c>
      <c r="Y78" s="4" t="s">
        <v>517</v>
      </c>
    </row>
    <row r="79" customFormat="false" ht="35.05" hidden="false" customHeight="false" outlineLevel="0" collapsed="false">
      <c r="A79" s="4" t="s">
        <v>3635</v>
      </c>
      <c r="B79" s="4" t="s">
        <v>3636</v>
      </c>
      <c r="C79" s="4" t="s">
        <v>3637</v>
      </c>
      <c r="D79" s="4" t="s">
        <v>61</v>
      </c>
      <c r="E79" s="4" t="s">
        <v>2035</v>
      </c>
      <c r="F79" s="4" t="s">
        <v>3638</v>
      </c>
      <c r="G79" s="4" t="s">
        <v>3639</v>
      </c>
      <c r="H79" s="4" t="s">
        <v>65</v>
      </c>
      <c r="I79" s="4" t="s">
        <v>66</v>
      </c>
      <c r="J79" s="4" t="s">
        <v>3640</v>
      </c>
      <c r="K79" s="4" t="s">
        <v>85</v>
      </c>
      <c r="L79" s="5" t="s">
        <v>85</v>
      </c>
      <c r="M79" s="4" t="s">
        <v>85</v>
      </c>
      <c r="N79" s="4" t="s">
        <v>85</v>
      </c>
      <c r="O79" s="4" t="s">
        <v>2826</v>
      </c>
      <c r="P79" s="4" t="s">
        <v>72</v>
      </c>
      <c r="Q79" s="4" t="s">
        <v>316</v>
      </c>
      <c r="R79" s="4" t="s">
        <v>74</v>
      </c>
      <c r="S79" s="4" t="s">
        <v>3641</v>
      </c>
      <c r="T79" s="4" t="s">
        <v>3642</v>
      </c>
      <c r="U79" s="4" t="s">
        <v>3643</v>
      </c>
      <c r="V79" s="4"/>
      <c r="W79" s="4" t="s">
        <v>3644</v>
      </c>
      <c r="X79" s="4" t="s">
        <v>3645</v>
      </c>
      <c r="Y79" s="4" t="s">
        <v>517</v>
      </c>
    </row>
    <row r="80" customFormat="false" ht="46.25" hidden="false" customHeight="false" outlineLevel="0" collapsed="false">
      <c r="A80" s="4" t="s">
        <v>3646</v>
      </c>
      <c r="B80" s="4" t="s">
        <v>3647</v>
      </c>
      <c r="C80" s="4" t="s">
        <v>3648</v>
      </c>
      <c r="D80" s="4" t="s">
        <v>61</v>
      </c>
      <c r="E80" s="4" t="s">
        <v>2035</v>
      </c>
      <c r="F80" s="4" t="s">
        <v>3649</v>
      </c>
      <c r="G80" s="4" t="s">
        <v>3650</v>
      </c>
      <c r="H80" s="4" t="s">
        <v>65</v>
      </c>
      <c r="I80" s="4" t="s">
        <v>66</v>
      </c>
      <c r="J80" s="4" t="s">
        <v>3651</v>
      </c>
      <c r="K80" s="4" t="s">
        <v>3652</v>
      </c>
      <c r="L80" s="5" t="s">
        <v>85</v>
      </c>
      <c r="M80" s="4" t="s">
        <v>3653</v>
      </c>
      <c r="N80" s="4" t="s">
        <v>85</v>
      </c>
      <c r="O80" s="4" t="s">
        <v>3654</v>
      </c>
      <c r="P80" s="4" t="s">
        <v>72</v>
      </c>
      <c r="Q80" s="4" t="s">
        <v>73</v>
      </c>
      <c r="R80" s="4" t="s">
        <v>74</v>
      </c>
      <c r="S80" s="4" t="s">
        <v>3655</v>
      </c>
      <c r="T80" s="4" t="s">
        <v>3656</v>
      </c>
      <c r="U80" s="4" t="s">
        <v>3657</v>
      </c>
      <c r="V80" s="4" t="s">
        <v>3658</v>
      </c>
      <c r="W80" s="4" t="s">
        <v>3659</v>
      </c>
      <c r="X80" s="4" t="s">
        <v>3660</v>
      </c>
      <c r="Y80" s="4" t="s">
        <v>1447</v>
      </c>
    </row>
    <row r="81" customFormat="false" ht="57.45" hidden="false" customHeight="false" outlineLevel="0" collapsed="false">
      <c r="A81" s="4" t="s">
        <v>3661</v>
      </c>
      <c r="B81" s="4" t="s">
        <v>3662</v>
      </c>
      <c r="C81" s="4" t="s">
        <v>3663</v>
      </c>
      <c r="D81" s="4" t="s">
        <v>61</v>
      </c>
      <c r="E81" s="4" t="s">
        <v>2035</v>
      </c>
      <c r="F81" s="4" t="s">
        <v>3664</v>
      </c>
      <c r="G81" s="4" t="s">
        <v>3665</v>
      </c>
      <c r="H81" s="4" t="s">
        <v>61</v>
      </c>
      <c r="I81" s="4" t="s">
        <v>66</v>
      </c>
      <c r="J81" s="4" t="s">
        <v>3666</v>
      </c>
      <c r="K81" s="4" t="s">
        <v>85</v>
      </c>
      <c r="L81" s="5" t="s">
        <v>85</v>
      </c>
      <c r="M81" s="4" t="s">
        <v>85</v>
      </c>
      <c r="N81" s="4" t="s">
        <v>85</v>
      </c>
      <c r="O81" s="4" t="s">
        <v>3667</v>
      </c>
      <c r="P81" s="4" t="s">
        <v>72</v>
      </c>
      <c r="Q81" s="4" t="s">
        <v>73</v>
      </c>
      <c r="R81" s="4" t="s">
        <v>74</v>
      </c>
      <c r="S81" s="4" t="s">
        <v>3668</v>
      </c>
      <c r="T81" s="4" t="s">
        <v>3669</v>
      </c>
      <c r="U81" s="4" t="s">
        <v>3670</v>
      </c>
      <c r="V81" s="4"/>
      <c r="W81" s="4" t="s">
        <v>3671</v>
      </c>
      <c r="X81" s="4"/>
      <c r="Y81" s="4" t="s">
        <v>1648</v>
      </c>
    </row>
    <row r="82" customFormat="false" ht="23.85" hidden="false" customHeight="false" outlineLevel="0" collapsed="false">
      <c r="A82" s="4" t="s">
        <v>3672</v>
      </c>
      <c r="B82" s="4" t="s">
        <v>3673</v>
      </c>
      <c r="C82" s="4" t="s">
        <v>3674</v>
      </c>
      <c r="D82" s="4" t="s">
        <v>61</v>
      </c>
      <c r="E82" s="4" t="s">
        <v>2035</v>
      </c>
      <c r="F82" s="4" t="s">
        <v>3675</v>
      </c>
      <c r="G82" s="4" t="s">
        <v>3676</v>
      </c>
      <c r="H82" s="4" t="s">
        <v>61</v>
      </c>
      <c r="I82" s="4" t="s">
        <v>2764</v>
      </c>
      <c r="J82" s="4" t="s">
        <v>2764</v>
      </c>
      <c r="K82" s="4" t="s">
        <v>85</v>
      </c>
      <c r="L82" s="5" t="s">
        <v>85</v>
      </c>
      <c r="M82" s="4" t="s">
        <v>85</v>
      </c>
      <c r="N82" s="4" t="s">
        <v>85</v>
      </c>
      <c r="O82" s="4" t="s">
        <v>2743</v>
      </c>
      <c r="P82" s="4" t="s">
        <v>72</v>
      </c>
      <c r="Q82" s="4" t="s">
        <v>73</v>
      </c>
      <c r="R82" s="4" t="s">
        <v>74</v>
      </c>
      <c r="S82" s="4" t="s">
        <v>3228</v>
      </c>
      <c r="T82" s="4" t="s">
        <v>144</v>
      </c>
      <c r="U82" s="4" t="s">
        <v>69</v>
      </c>
      <c r="V82" s="4"/>
      <c r="W82" s="4" t="s">
        <v>61</v>
      </c>
      <c r="X82" s="4" t="s">
        <v>3677</v>
      </c>
      <c r="Y82" s="4" t="s">
        <v>1036</v>
      </c>
    </row>
    <row r="83" customFormat="false" ht="35.05" hidden="false" customHeight="false" outlineLevel="0" collapsed="false">
      <c r="A83" s="4" t="s">
        <v>3678</v>
      </c>
      <c r="B83" s="4" t="s">
        <v>3679</v>
      </c>
      <c r="C83" s="4" t="s">
        <v>3680</v>
      </c>
      <c r="D83" s="4" t="s">
        <v>61</v>
      </c>
      <c r="E83" s="4" t="s">
        <v>2035</v>
      </c>
      <c r="F83" s="4" t="s">
        <v>3681</v>
      </c>
      <c r="G83" s="4" t="s">
        <v>3682</v>
      </c>
      <c r="H83" s="4" t="s">
        <v>65</v>
      </c>
      <c r="I83" s="4" t="s">
        <v>2764</v>
      </c>
      <c r="J83" s="4" t="s">
        <v>2764</v>
      </c>
      <c r="K83" s="4" t="s">
        <v>85</v>
      </c>
      <c r="L83" s="5" t="s">
        <v>85</v>
      </c>
      <c r="M83" s="4" t="s">
        <v>85</v>
      </c>
      <c r="N83" s="4" t="s">
        <v>3683</v>
      </c>
      <c r="O83" s="4" t="s">
        <v>3684</v>
      </c>
      <c r="P83" s="4" t="s">
        <v>72</v>
      </c>
      <c r="Q83" s="4" t="s">
        <v>316</v>
      </c>
      <c r="R83" s="4" t="s">
        <v>74</v>
      </c>
      <c r="S83" s="4" t="s">
        <v>3685</v>
      </c>
      <c r="T83" s="4" t="s">
        <v>3686</v>
      </c>
      <c r="U83" s="4" t="s">
        <v>69</v>
      </c>
      <c r="V83" s="4"/>
      <c r="W83" s="4" t="s">
        <v>3166</v>
      </c>
      <c r="X83" s="4" t="s">
        <v>3687</v>
      </c>
      <c r="Y83" s="4" t="s">
        <v>1648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2"/>
    <col collapsed="false" customWidth="true" hidden="false" outlineLevel="0" max="3" min="3" style="0" width="45"/>
    <col collapsed="false" customWidth="true" hidden="false" outlineLevel="0" max="4" min="4" style="0" width="30"/>
    <col collapsed="false" customWidth="true" hidden="false" outlineLevel="0" max="5" min="5" style="0" width="10"/>
    <col collapsed="false" customWidth="true" hidden="false" outlineLevel="0" max="6" min="6" style="0" width="70"/>
  </cols>
  <sheetData>
    <row r="1" customFormat="false" ht="15" hidden="false" customHeight="false" outlineLevel="0" collapsed="false">
      <c r="A1" s="3" t="s">
        <v>3688</v>
      </c>
      <c r="B1" s="3" t="s">
        <v>3689</v>
      </c>
      <c r="C1" s="3" t="s">
        <v>3690</v>
      </c>
      <c r="D1" s="3" t="s">
        <v>3691</v>
      </c>
      <c r="E1" s="3" t="s">
        <v>3692</v>
      </c>
      <c r="F1" s="3" t="s">
        <v>3693</v>
      </c>
    </row>
    <row r="2" customFormat="false" ht="15" hidden="false" customHeight="false" outlineLevel="0" collapsed="false">
      <c r="A2" s="4" t="s">
        <v>3694</v>
      </c>
      <c r="B2" s="4" t="s">
        <v>3695</v>
      </c>
      <c r="C2" s="4" t="s">
        <v>3696</v>
      </c>
      <c r="D2" s="4" t="s">
        <v>3697</v>
      </c>
      <c r="E2" s="6" t="s">
        <v>221</v>
      </c>
      <c r="F2" s="4" t="s">
        <v>3698</v>
      </c>
    </row>
    <row r="3" customFormat="false" ht="23.85" hidden="false" customHeight="false" outlineLevel="0" collapsed="false">
      <c r="A3" s="4" t="s">
        <v>3694</v>
      </c>
      <c r="B3" s="4" t="s">
        <v>3699</v>
      </c>
      <c r="C3" s="4" t="s">
        <v>3700</v>
      </c>
      <c r="D3" s="4" t="s">
        <v>3701</v>
      </c>
      <c r="E3" s="6" t="s">
        <v>221</v>
      </c>
      <c r="F3" s="4" t="s">
        <v>3702</v>
      </c>
    </row>
    <row r="4" customFormat="false" ht="23.85" hidden="false" customHeight="false" outlineLevel="0" collapsed="false">
      <c r="A4" s="4" t="s">
        <v>3694</v>
      </c>
      <c r="B4" s="4" t="s">
        <v>3703</v>
      </c>
      <c r="C4" s="4" t="s">
        <v>3704</v>
      </c>
      <c r="D4" s="4" t="s">
        <v>3705</v>
      </c>
      <c r="E4" s="6" t="s">
        <v>221</v>
      </c>
      <c r="F4" s="4" t="s">
        <v>3706</v>
      </c>
    </row>
    <row r="5" customFormat="false" ht="23.85" hidden="false" customHeight="false" outlineLevel="0" collapsed="false">
      <c r="A5" s="4" t="s">
        <v>3694</v>
      </c>
      <c r="B5" s="4" t="s">
        <v>3707</v>
      </c>
      <c r="C5" s="4" t="s">
        <v>1586</v>
      </c>
      <c r="D5" s="4" t="s">
        <v>3708</v>
      </c>
      <c r="E5" s="6" t="s">
        <v>221</v>
      </c>
      <c r="F5" s="4" t="s">
        <v>3709</v>
      </c>
    </row>
    <row r="6" customFormat="false" ht="15" hidden="false" customHeight="false" outlineLevel="0" collapsed="false">
      <c r="A6" s="4" t="s">
        <v>3694</v>
      </c>
      <c r="B6" s="4" t="s">
        <v>3710</v>
      </c>
      <c r="C6" s="4" t="s">
        <v>3711</v>
      </c>
      <c r="D6" s="4" t="s">
        <v>3712</v>
      </c>
      <c r="E6" s="5" t="s">
        <v>3713</v>
      </c>
      <c r="F6" s="4" t="s">
        <v>3712</v>
      </c>
    </row>
    <row r="7" customFormat="false" ht="15" hidden="false" customHeight="false" outlineLevel="0" collapsed="false">
      <c r="A7" s="4" t="s">
        <v>3694</v>
      </c>
      <c r="B7" s="4" t="s">
        <v>3714</v>
      </c>
      <c r="C7" s="4" t="s">
        <v>3715</v>
      </c>
      <c r="D7" s="4" t="s">
        <v>3716</v>
      </c>
      <c r="E7" s="7" t="s">
        <v>261</v>
      </c>
      <c r="F7" s="4" t="s">
        <v>3717</v>
      </c>
    </row>
    <row r="8" customFormat="false" ht="15" hidden="false" customHeight="false" outlineLevel="0" collapsed="false">
      <c r="A8" s="4" t="s">
        <v>3718</v>
      </c>
      <c r="B8" s="4" t="s">
        <v>3719</v>
      </c>
      <c r="C8" s="4" t="s">
        <v>3720</v>
      </c>
      <c r="D8" s="4" t="s">
        <v>3721</v>
      </c>
      <c r="E8" s="6" t="s">
        <v>221</v>
      </c>
      <c r="F8" s="4" t="s">
        <v>3722</v>
      </c>
    </row>
    <row r="9" customFormat="false" ht="15" hidden="false" customHeight="false" outlineLevel="0" collapsed="false">
      <c r="A9" s="4" t="s">
        <v>3718</v>
      </c>
      <c r="B9" s="4" t="s">
        <v>3723</v>
      </c>
      <c r="C9" s="4" t="s">
        <v>651</v>
      </c>
      <c r="D9" s="4" t="s">
        <v>3712</v>
      </c>
      <c r="E9" s="5" t="s">
        <v>3713</v>
      </c>
      <c r="F9" s="4" t="s">
        <v>3712</v>
      </c>
    </row>
    <row r="10" customFormat="false" ht="15" hidden="false" customHeight="false" outlineLevel="0" collapsed="false">
      <c r="A10" s="4" t="s">
        <v>3718</v>
      </c>
      <c r="B10" s="4" t="s">
        <v>3724</v>
      </c>
      <c r="C10" s="4" t="s">
        <v>635</v>
      </c>
      <c r="D10" s="4" t="s">
        <v>3712</v>
      </c>
      <c r="E10" s="5" t="s">
        <v>3713</v>
      </c>
      <c r="F10" s="4" t="s">
        <v>3712</v>
      </c>
    </row>
    <row r="11" customFormat="false" ht="15" hidden="false" customHeight="false" outlineLevel="0" collapsed="false">
      <c r="A11" s="4" t="s">
        <v>3718</v>
      </c>
      <c r="B11" s="4" t="s">
        <v>3725</v>
      </c>
      <c r="C11" s="4" t="s">
        <v>664</v>
      </c>
      <c r="D11" s="4" t="s">
        <v>3712</v>
      </c>
      <c r="E11" s="5" t="s">
        <v>3713</v>
      </c>
      <c r="F11" s="4" t="s">
        <v>3712</v>
      </c>
    </row>
    <row r="12" customFormat="false" ht="15" hidden="false" customHeight="false" outlineLevel="0" collapsed="false">
      <c r="A12" s="4" t="s">
        <v>3718</v>
      </c>
      <c r="B12" s="4" t="s">
        <v>3726</v>
      </c>
      <c r="C12" s="4" t="s">
        <v>694</v>
      </c>
      <c r="D12" s="4" t="s">
        <v>3712</v>
      </c>
      <c r="E12" s="5" t="s">
        <v>3713</v>
      </c>
      <c r="F12" s="4" t="s">
        <v>3727</v>
      </c>
    </row>
    <row r="13" customFormat="false" ht="15" hidden="false" customHeight="false" outlineLevel="0" collapsed="false">
      <c r="A13" s="4" t="s">
        <v>3718</v>
      </c>
      <c r="B13" s="4" t="s">
        <v>3728</v>
      </c>
      <c r="C13" s="4" t="s">
        <v>3729</v>
      </c>
      <c r="D13" s="4" t="s">
        <v>3712</v>
      </c>
      <c r="E13" s="5" t="s">
        <v>3713</v>
      </c>
      <c r="F13" s="4" t="s">
        <v>3712</v>
      </c>
    </row>
    <row r="14" customFormat="false" ht="15" hidden="false" customHeight="false" outlineLevel="0" collapsed="false">
      <c r="A14" s="4" t="s">
        <v>1311</v>
      </c>
      <c r="B14" s="4" t="s">
        <v>3730</v>
      </c>
      <c r="C14" s="4" t="s">
        <v>3731</v>
      </c>
      <c r="D14" s="4" t="s">
        <v>3732</v>
      </c>
      <c r="E14" s="6" t="s">
        <v>221</v>
      </c>
      <c r="F14" s="4" t="s">
        <v>3733</v>
      </c>
    </row>
    <row r="15" customFormat="false" ht="15" hidden="false" customHeight="false" outlineLevel="0" collapsed="false">
      <c r="A15" s="4" t="s">
        <v>1311</v>
      </c>
      <c r="B15" s="4" t="s">
        <v>3734</v>
      </c>
      <c r="C15" s="4" t="s">
        <v>3735</v>
      </c>
      <c r="D15" s="4" t="s">
        <v>3736</v>
      </c>
      <c r="E15" s="6" t="s">
        <v>221</v>
      </c>
      <c r="F15" s="4" t="s">
        <v>3737</v>
      </c>
    </row>
    <row r="16" customFormat="false" ht="23.85" hidden="false" customHeight="false" outlineLevel="0" collapsed="false">
      <c r="A16" s="4" t="s">
        <v>1311</v>
      </c>
      <c r="B16" s="4" t="s">
        <v>3738</v>
      </c>
      <c r="C16" s="4" t="s">
        <v>3739</v>
      </c>
      <c r="D16" s="4" t="s">
        <v>3740</v>
      </c>
      <c r="E16" s="6" t="s">
        <v>221</v>
      </c>
      <c r="F16" s="4" t="s">
        <v>3741</v>
      </c>
    </row>
    <row r="17" customFormat="false" ht="15" hidden="false" customHeight="false" outlineLevel="0" collapsed="false">
      <c r="A17" s="4" t="s">
        <v>1311</v>
      </c>
      <c r="B17" s="4" t="s">
        <v>3742</v>
      </c>
      <c r="C17" s="4" t="s">
        <v>3743</v>
      </c>
      <c r="D17" s="4" t="s">
        <v>3712</v>
      </c>
      <c r="E17" s="5" t="s">
        <v>3713</v>
      </c>
      <c r="F17" s="4" t="s">
        <v>3712</v>
      </c>
    </row>
    <row r="18" customFormat="false" ht="15" hidden="false" customHeight="false" outlineLevel="0" collapsed="false">
      <c r="A18" s="4" t="s">
        <v>734</v>
      </c>
      <c r="B18" s="4" t="s">
        <v>3744</v>
      </c>
      <c r="C18" s="4" t="s">
        <v>3745</v>
      </c>
      <c r="D18" s="4" t="s">
        <v>3746</v>
      </c>
      <c r="E18" s="6" t="s">
        <v>221</v>
      </c>
      <c r="F18" s="4" t="s">
        <v>3747</v>
      </c>
    </row>
    <row r="19" customFormat="false" ht="15" hidden="false" customHeight="false" outlineLevel="0" collapsed="false">
      <c r="A19" s="4" t="s">
        <v>734</v>
      </c>
      <c r="B19" s="4" t="s">
        <v>3748</v>
      </c>
      <c r="C19" s="4" t="s">
        <v>3749</v>
      </c>
      <c r="D19" s="4" t="s">
        <v>3750</v>
      </c>
      <c r="E19" s="6" t="s">
        <v>221</v>
      </c>
      <c r="F19" s="4" t="s">
        <v>3751</v>
      </c>
    </row>
    <row r="20" customFormat="false" ht="15" hidden="false" customHeight="false" outlineLevel="0" collapsed="false">
      <c r="A20" s="4" t="s">
        <v>734</v>
      </c>
      <c r="B20" s="4" t="s">
        <v>3752</v>
      </c>
      <c r="C20" s="4" t="s">
        <v>786</v>
      </c>
      <c r="D20" s="4" t="s">
        <v>3712</v>
      </c>
      <c r="E20" s="5" t="s">
        <v>3713</v>
      </c>
      <c r="F20" s="4" t="s">
        <v>3712</v>
      </c>
    </row>
    <row r="21" customFormat="false" ht="23.85" hidden="false" customHeight="false" outlineLevel="0" collapsed="false">
      <c r="A21" s="4" t="s">
        <v>3753</v>
      </c>
      <c r="B21" s="4" t="s">
        <v>3754</v>
      </c>
      <c r="C21" s="4" t="s">
        <v>3755</v>
      </c>
      <c r="D21" s="4" t="s">
        <v>3756</v>
      </c>
      <c r="E21" s="6" t="s">
        <v>221</v>
      </c>
      <c r="F21" s="4" t="s">
        <v>3757</v>
      </c>
    </row>
    <row r="22" customFormat="false" ht="23.85" hidden="false" customHeight="false" outlineLevel="0" collapsed="false">
      <c r="A22" s="4" t="s">
        <v>3753</v>
      </c>
      <c r="B22" s="4" t="s">
        <v>3758</v>
      </c>
      <c r="C22" s="4" t="s">
        <v>3759</v>
      </c>
      <c r="D22" s="4" t="s">
        <v>3760</v>
      </c>
      <c r="E22" s="6" t="s">
        <v>221</v>
      </c>
      <c r="F22" s="4" t="s">
        <v>3761</v>
      </c>
    </row>
    <row r="23" customFormat="false" ht="23.85" hidden="false" customHeight="false" outlineLevel="0" collapsed="false">
      <c r="A23" s="4" t="s">
        <v>3762</v>
      </c>
      <c r="B23" s="4" t="s">
        <v>3763</v>
      </c>
      <c r="C23" s="4" t="s">
        <v>3764</v>
      </c>
      <c r="D23" s="4" t="s">
        <v>3712</v>
      </c>
      <c r="E23" s="5" t="s">
        <v>3713</v>
      </c>
      <c r="F23" s="4" t="s">
        <v>3765</v>
      </c>
    </row>
    <row r="24" customFormat="false" ht="15" hidden="false" customHeight="false" outlineLevel="0" collapsed="false">
      <c r="A24" s="4" t="s">
        <v>3766</v>
      </c>
      <c r="B24" s="4" t="s">
        <v>3767</v>
      </c>
      <c r="C24" s="4" t="s">
        <v>3768</v>
      </c>
      <c r="D24" s="4" t="s">
        <v>3712</v>
      </c>
      <c r="E24" s="5" t="s">
        <v>3713</v>
      </c>
      <c r="F24" s="4" t="s">
        <v>3769</v>
      </c>
    </row>
    <row r="25" customFormat="false" ht="15" hidden="false" customHeight="false" outlineLevel="0" collapsed="false">
      <c r="A25" s="4" t="s">
        <v>3766</v>
      </c>
      <c r="B25" s="4" t="s">
        <v>3770</v>
      </c>
      <c r="C25" s="4" t="s">
        <v>3771</v>
      </c>
      <c r="D25" s="4" t="s">
        <v>3712</v>
      </c>
      <c r="E25" s="5" t="s">
        <v>3713</v>
      </c>
      <c r="F25" s="4" t="s">
        <v>3712</v>
      </c>
    </row>
    <row r="26" customFormat="false" ht="15" hidden="false" customHeight="false" outlineLevel="0" collapsed="false">
      <c r="A26" s="4" t="s">
        <v>3766</v>
      </c>
      <c r="B26" s="4" t="s">
        <v>3772</v>
      </c>
      <c r="C26" s="4" t="s">
        <v>3773</v>
      </c>
      <c r="D26" s="4" t="s">
        <v>3712</v>
      </c>
      <c r="E26" s="5" t="s">
        <v>3713</v>
      </c>
      <c r="F26" s="4" t="s">
        <v>3774</v>
      </c>
    </row>
    <row r="27" customFormat="false" ht="23.85" hidden="false" customHeight="false" outlineLevel="0" collapsed="false">
      <c r="A27" s="4" t="s">
        <v>3775</v>
      </c>
      <c r="B27" s="4" t="s">
        <v>3776</v>
      </c>
      <c r="C27" s="4" t="s">
        <v>3777</v>
      </c>
      <c r="D27" s="4" t="s">
        <v>3778</v>
      </c>
      <c r="E27" s="7" t="s">
        <v>261</v>
      </c>
      <c r="F27" s="4" t="s">
        <v>3779</v>
      </c>
    </row>
    <row r="28" customFormat="false" ht="15" hidden="false" customHeight="false" outlineLevel="0" collapsed="false">
      <c r="A28" s="4" t="s">
        <v>3780</v>
      </c>
      <c r="B28" s="4" t="s">
        <v>3781</v>
      </c>
      <c r="C28" s="4" t="s">
        <v>3782</v>
      </c>
      <c r="D28" s="4" t="s">
        <v>3783</v>
      </c>
      <c r="E28" s="6" t="s">
        <v>221</v>
      </c>
      <c r="F28" s="4" t="s">
        <v>3784</v>
      </c>
    </row>
    <row r="29" customFormat="false" ht="23.85" hidden="false" customHeight="false" outlineLevel="0" collapsed="false">
      <c r="A29" s="4" t="s">
        <v>3785</v>
      </c>
      <c r="B29" s="4" t="s">
        <v>3786</v>
      </c>
      <c r="C29" s="4" t="s">
        <v>3787</v>
      </c>
      <c r="D29" s="4" t="s">
        <v>3788</v>
      </c>
      <c r="E29" s="6" t="s">
        <v>221</v>
      </c>
      <c r="F29" s="4" t="s">
        <v>3789</v>
      </c>
    </row>
    <row r="30" customFormat="false" ht="23.85" hidden="false" customHeight="false" outlineLevel="0" collapsed="false">
      <c r="A30" s="4" t="s">
        <v>3785</v>
      </c>
      <c r="B30" s="4" t="s">
        <v>3790</v>
      </c>
      <c r="C30" s="4" t="s">
        <v>3791</v>
      </c>
      <c r="D30" s="4" t="s">
        <v>3792</v>
      </c>
      <c r="E30" s="6" t="s">
        <v>221</v>
      </c>
      <c r="F30" s="4" t="s">
        <v>3793</v>
      </c>
    </row>
    <row r="31" customFormat="false" ht="15" hidden="false" customHeight="false" outlineLevel="0" collapsed="false">
      <c r="A31" s="4" t="s">
        <v>3785</v>
      </c>
      <c r="B31" s="4" t="s">
        <v>3794</v>
      </c>
      <c r="C31" s="4" t="s">
        <v>3795</v>
      </c>
      <c r="D31" s="4" t="s">
        <v>3712</v>
      </c>
      <c r="E31" s="5" t="s">
        <v>3713</v>
      </c>
      <c r="F31" s="4" t="s">
        <v>3796</v>
      </c>
    </row>
    <row r="32" customFormat="false" ht="15" hidden="false" customHeight="false" outlineLevel="0" collapsed="false">
      <c r="A32" s="4" t="s">
        <v>3797</v>
      </c>
      <c r="B32" s="4" t="s">
        <v>3798</v>
      </c>
      <c r="C32" s="4" t="s">
        <v>3799</v>
      </c>
      <c r="D32" s="4" t="s">
        <v>3800</v>
      </c>
      <c r="E32" s="5" t="s">
        <v>3713</v>
      </c>
      <c r="F32" s="4" t="s">
        <v>3801</v>
      </c>
    </row>
    <row r="33" customFormat="false" ht="23.85" hidden="false" customHeight="false" outlineLevel="0" collapsed="false">
      <c r="A33" s="4" t="s">
        <v>3802</v>
      </c>
      <c r="B33" s="4" t="s">
        <v>3803</v>
      </c>
      <c r="C33" s="4" t="s">
        <v>3804</v>
      </c>
      <c r="D33" s="4" t="s">
        <v>3712</v>
      </c>
      <c r="E33" s="5" t="s">
        <v>3713</v>
      </c>
      <c r="F33" s="4" t="s">
        <v>3805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40"/>
    <col collapsed="false" customWidth="true" hidden="false" outlineLevel="0" max="4" min="4" style="0" width="35"/>
    <col collapsed="false" customWidth="true" hidden="false" outlineLevel="0" max="6" min="5" style="0" width="40"/>
    <col collapsed="false" customWidth="true" hidden="false" outlineLevel="0" max="7" min="7" style="0" width="55"/>
    <col collapsed="false" customWidth="true" hidden="false" outlineLevel="0" max="8" min="8" style="0" width="30"/>
    <col collapsed="false" customWidth="true" hidden="false" outlineLevel="0" max="9" min="9" style="0" width="35"/>
  </cols>
  <sheetData>
    <row r="1" customFormat="false" ht="15" hidden="false" customHeight="false" outlineLevel="0" collapsed="false">
      <c r="A1" s="3" t="s">
        <v>3806</v>
      </c>
      <c r="B1" s="3" t="s">
        <v>38</v>
      </c>
      <c r="C1" s="3" t="s">
        <v>3807</v>
      </c>
      <c r="D1" s="3" t="s">
        <v>3808</v>
      </c>
      <c r="E1" s="3" t="s">
        <v>3809</v>
      </c>
      <c r="F1" s="3" t="s">
        <v>3810</v>
      </c>
      <c r="G1" s="3" t="s">
        <v>3811</v>
      </c>
      <c r="H1" s="3" t="s">
        <v>3812</v>
      </c>
      <c r="I1" s="3" t="s">
        <v>3813</v>
      </c>
    </row>
    <row r="2" customFormat="false" ht="147" hidden="false" customHeight="false" outlineLevel="0" collapsed="false">
      <c r="A2" s="4" t="s">
        <v>3814</v>
      </c>
      <c r="B2" s="4" t="s">
        <v>3815</v>
      </c>
      <c r="C2" s="4" t="s">
        <v>3816</v>
      </c>
      <c r="D2" s="4" t="s">
        <v>3817</v>
      </c>
      <c r="E2" s="4" t="s">
        <v>3818</v>
      </c>
      <c r="F2" s="4" t="s">
        <v>3819</v>
      </c>
      <c r="G2" s="4" t="s">
        <v>3820</v>
      </c>
      <c r="H2" s="4" t="s">
        <v>3821</v>
      </c>
      <c r="I2" s="4" t="s">
        <v>3822</v>
      </c>
    </row>
    <row r="3" customFormat="false" ht="35.05" hidden="false" customHeight="false" outlineLevel="0" collapsed="false">
      <c r="A3" s="4" t="s">
        <v>3697</v>
      </c>
      <c r="B3" s="4" t="s">
        <v>3823</v>
      </c>
      <c r="C3" s="4" t="s">
        <v>3824</v>
      </c>
      <c r="D3" s="4" t="s">
        <v>879</v>
      </c>
      <c r="E3" s="4" t="s">
        <v>3825</v>
      </c>
      <c r="F3" s="4" t="s">
        <v>3826</v>
      </c>
      <c r="G3" s="4" t="s">
        <v>3827</v>
      </c>
      <c r="H3" s="4" t="s">
        <v>3828</v>
      </c>
      <c r="I3" s="4" t="s">
        <v>3829</v>
      </c>
    </row>
    <row r="4" customFormat="false" ht="68.65" hidden="false" customHeight="false" outlineLevel="0" collapsed="false">
      <c r="A4" s="4" t="s">
        <v>3708</v>
      </c>
      <c r="B4" s="4" t="s">
        <v>3830</v>
      </c>
      <c r="C4" s="4" t="s">
        <v>3831</v>
      </c>
      <c r="D4" s="4" t="s">
        <v>3832</v>
      </c>
      <c r="E4" s="4" t="s">
        <v>3833</v>
      </c>
      <c r="F4" s="4" t="s">
        <v>3834</v>
      </c>
      <c r="G4" s="4" t="s">
        <v>3835</v>
      </c>
      <c r="H4" s="4" t="s">
        <v>3836</v>
      </c>
      <c r="I4" s="4" t="s">
        <v>3837</v>
      </c>
    </row>
    <row r="5" customFormat="false" ht="68.65" hidden="false" customHeight="false" outlineLevel="0" collapsed="false">
      <c r="A5" s="4" t="s">
        <v>3721</v>
      </c>
      <c r="B5" s="4" t="s">
        <v>3838</v>
      </c>
      <c r="C5" s="4" t="s">
        <v>3839</v>
      </c>
      <c r="D5" s="4" t="s">
        <v>85</v>
      </c>
      <c r="E5" s="4" t="s">
        <v>3840</v>
      </c>
      <c r="F5" s="4" t="s">
        <v>3841</v>
      </c>
      <c r="G5" s="4" t="s">
        <v>3842</v>
      </c>
      <c r="H5" s="4" t="s">
        <v>660</v>
      </c>
      <c r="I5" s="4" t="s">
        <v>3843</v>
      </c>
    </row>
    <row r="6" customFormat="false" ht="23.85" hidden="false" customHeight="false" outlineLevel="0" collapsed="false">
      <c r="A6" s="4" t="s">
        <v>3716</v>
      </c>
      <c r="B6" s="4" t="s">
        <v>3844</v>
      </c>
      <c r="C6" s="4" t="s">
        <v>3845</v>
      </c>
      <c r="D6" s="4" t="s">
        <v>3846</v>
      </c>
      <c r="E6" s="4" t="s">
        <v>85</v>
      </c>
      <c r="F6" s="4" t="s">
        <v>3847</v>
      </c>
      <c r="G6" s="4" t="s">
        <v>3848</v>
      </c>
      <c r="H6" s="4" t="s">
        <v>3849</v>
      </c>
      <c r="I6" s="4" t="s">
        <v>3850</v>
      </c>
    </row>
    <row r="7" customFormat="false" ht="68.65" hidden="false" customHeight="false" outlineLevel="0" collapsed="false">
      <c r="A7" s="4" t="s">
        <v>3732</v>
      </c>
      <c r="B7" s="4" t="s">
        <v>3851</v>
      </c>
      <c r="C7" s="4" t="s">
        <v>3852</v>
      </c>
      <c r="D7" s="4" t="s">
        <v>85</v>
      </c>
      <c r="E7" s="4" t="s">
        <v>3853</v>
      </c>
      <c r="F7" s="4" t="s">
        <v>3854</v>
      </c>
      <c r="G7" s="4" t="s">
        <v>3855</v>
      </c>
      <c r="H7" s="4" t="s">
        <v>3856</v>
      </c>
      <c r="I7" s="4" t="s">
        <v>3857</v>
      </c>
    </row>
    <row r="8" customFormat="false" ht="102.2" hidden="false" customHeight="false" outlineLevel="0" collapsed="false">
      <c r="A8" s="4" t="s">
        <v>3756</v>
      </c>
      <c r="B8" s="4" t="s">
        <v>3858</v>
      </c>
      <c r="C8" s="4" t="s">
        <v>3859</v>
      </c>
      <c r="D8" s="4" t="s">
        <v>85</v>
      </c>
      <c r="E8" s="4" t="s">
        <v>3860</v>
      </c>
      <c r="F8" s="4" t="s">
        <v>3861</v>
      </c>
      <c r="G8" s="4" t="s">
        <v>3862</v>
      </c>
      <c r="H8" s="4" t="s">
        <v>660</v>
      </c>
      <c r="I8" s="4" t="s">
        <v>3863</v>
      </c>
    </row>
    <row r="9" customFormat="false" ht="79.85" hidden="false" customHeight="false" outlineLevel="0" collapsed="false">
      <c r="A9" s="4" t="s">
        <v>3760</v>
      </c>
      <c r="B9" s="4" t="s">
        <v>3864</v>
      </c>
      <c r="C9" s="4" t="s">
        <v>3865</v>
      </c>
      <c r="D9" s="4" t="s">
        <v>3866</v>
      </c>
      <c r="E9" s="4" t="s">
        <v>3867</v>
      </c>
      <c r="F9" s="4" t="s">
        <v>3868</v>
      </c>
      <c r="G9" s="4" t="s">
        <v>3869</v>
      </c>
      <c r="H9" s="4" t="s">
        <v>3870</v>
      </c>
      <c r="I9" s="4" t="s">
        <v>3871</v>
      </c>
    </row>
    <row r="10" customFormat="false" ht="180.55" hidden="false" customHeight="false" outlineLevel="0" collapsed="false">
      <c r="A10" s="4" t="s">
        <v>3872</v>
      </c>
      <c r="B10" s="4" t="s">
        <v>3873</v>
      </c>
      <c r="C10" s="4" t="s">
        <v>3874</v>
      </c>
      <c r="D10" s="4" t="s">
        <v>3875</v>
      </c>
      <c r="E10" s="4" t="s">
        <v>3876</v>
      </c>
      <c r="F10" s="4" t="s">
        <v>3877</v>
      </c>
      <c r="G10" s="4" t="s">
        <v>3878</v>
      </c>
      <c r="H10" s="4" t="s">
        <v>3879</v>
      </c>
      <c r="I10" s="4" t="s">
        <v>3880</v>
      </c>
    </row>
    <row r="11" customFormat="false" ht="68.65" hidden="false" customHeight="false" outlineLevel="0" collapsed="false">
      <c r="A11" s="4" t="s">
        <v>3881</v>
      </c>
      <c r="B11" s="4" t="s">
        <v>3882</v>
      </c>
      <c r="C11" s="4" t="s">
        <v>3883</v>
      </c>
      <c r="D11" s="4" t="s">
        <v>85</v>
      </c>
      <c r="E11" s="4" t="s">
        <v>3884</v>
      </c>
      <c r="F11" s="4" t="s">
        <v>3885</v>
      </c>
      <c r="G11" s="4" t="s">
        <v>3886</v>
      </c>
      <c r="H11" s="4" t="s">
        <v>660</v>
      </c>
      <c r="I11" s="4" t="s">
        <v>3887</v>
      </c>
    </row>
    <row r="12" customFormat="false" ht="35.05" hidden="false" customHeight="false" outlineLevel="0" collapsed="false">
      <c r="A12" s="4" t="s">
        <v>3888</v>
      </c>
      <c r="B12" s="4" t="s">
        <v>3889</v>
      </c>
      <c r="C12" s="4" t="s">
        <v>3890</v>
      </c>
      <c r="D12" s="4" t="s">
        <v>85</v>
      </c>
      <c r="E12" s="4" t="s">
        <v>3891</v>
      </c>
      <c r="F12" s="4" t="s">
        <v>3892</v>
      </c>
      <c r="G12" s="4" t="s">
        <v>3893</v>
      </c>
      <c r="H12" s="4" t="s">
        <v>660</v>
      </c>
      <c r="I12" s="4" t="s">
        <v>3894</v>
      </c>
    </row>
    <row r="13" customFormat="false" ht="23.85" hidden="false" customHeight="false" outlineLevel="0" collapsed="false">
      <c r="A13" s="4" t="s">
        <v>3750</v>
      </c>
      <c r="B13" s="4" t="s">
        <v>3895</v>
      </c>
      <c r="C13" s="4" t="s">
        <v>3896</v>
      </c>
      <c r="D13" s="4" t="s">
        <v>85</v>
      </c>
      <c r="E13" s="4" t="s">
        <v>85</v>
      </c>
      <c r="F13" s="4" t="s">
        <v>3897</v>
      </c>
      <c r="G13" s="4" t="s">
        <v>3898</v>
      </c>
      <c r="H13" s="4" t="s">
        <v>660</v>
      </c>
      <c r="I13" s="4"/>
    </row>
    <row r="14" customFormat="false" ht="68.65" hidden="false" customHeight="false" outlineLevel="0" collapsed="false">
      <c r="A14" s="4" t="s">
        <v>3736</v>
      </c>
      <c r="B14" s="4" t="s">
        <v>3899</v>
      </c>
      <c r="C14" s="4" t="s">
        <v>3900</v>
      </c>
      <c r="D14" s="4" t="s">
        <v>85</v>
      </c>
      <c r="E14" s="4" t="s">
        <v>3901</v>
      </c>
      <c r="F14" s="4" t="s">
        <v>3902</v>
      </c>
      <c r="G14" s="4" t="s">
        <v>3903</v>
      </c>
      <c r="H14" s="4" t="s">
        <v>660</v>
      </c>
      <c r="I14" s="4" t="s">
        <v>3904</v>
      </c>
    </row>
    <row r="15" customFormat="false" ht="68.65" hidden="false" customHeight="false" outlineLevel="0" collapsed="false">
      <c r="A15" s="4" t="s">
        <v>3740</v>
      </c>
      <c r="B15" s="4" t="s">
        <v>3905</v>
      </c>
      <c r="C15" s="4" t="s">
        <v>3906</v>
      </c>
      <c r="D15" s="4" t="s">
        <v>85</v>
      </c>
      <c r="E15" s="4" t="s">
        <v>3907</v>
      </c>
      <c r="F15" s="4" t="s">
        <v>3908</v>
      </c>
      <c r="G15" s="4" t="s">
        <v>3909</v>
      </c>
      <c r="H15" s="4" t="s">
        <v>3910</v>
      </c>
      <c r="I15" s="4" t="s">
        <v>3911</v>
      </c>
    </row>
    <row r="16" customFormat="false" ht="35.05" hidden="false" customHeight="false" outlineLevel="0" collapsed="false">
      <c r="A16" s="4" t="s">
        <v>3783</v>
      </c>
      <c r="B16" s="4" t="s">
        <v>3912</v>
      </c>
      <c r="C16" s="4" t="s">
        <v>3913</v>
      </c>
      <c r="D16" s="4" t="s">
        <v>3914</v>
      </c>
      <c r="E16" s="4" t="s">
        <v>3915</v>
      </c>
      <c r="F16" s="4" t="s">
        <v>3916</v>
      </c>
      <c r="G16" s="4" t="s">
        <v>3917</v>
      </c>
      <c r="H16" s="4" t="s">
        <v>660</v>
      </c>
      <c r="I16" s="4" t="s">
        <v>3918</v>
      </c>
    </row>
    <row r="17" customFormat="false" ht="15" hidden="false" customHeight="false" outlineLevel="0" collapsed="false">
      <c r="A17" s="4" t="s">
        <v>3701</v>
      </c>
      <c r="B17" s="4" t="s">
        <v>3919</v>
      </c>
      <c r="C17" s="4" t="s">
        <v>3920</v>
      </c>
      <c r="D17" s="4" t="s">
        <v>3846</v>
      </c>
      <c r="E17" s="4" t="s">
        <v>85</v>
      </c>
      <c r="F17" s="4" t="s">
        <v>3921</v>
      </c>
      <c r="G17" s="4" t="s">
        <v>3922</v>
      </c>
      <c r="H17" s="4" t="s">
        <v>660</v>
      </c>
      <c r="I17" s="4"/>
    </row>
    <row r="18" customFormat="false" ht="68.65" hidden="false" customHeight="false" outlineLevel="0" collapsed="false">
      <c r="A18" s="4" t="s">
        <v>3923</v>
      </c>
      <c r="B18" s="4" t="s">
        <v>3924</v>
      </c>
      <c r="C18" s="4" t="s">
        <v>3925</v>
      </c>
      <c r="D18" s="4" t="s">
        <v>85</v>
      </c>
      <c r="E18" s="4" t="s">
        <v>3926</v>
      </c>
      <c r="F18" s="4" t="s">
        <v>3927</v>
      </c>
      <c r="G18" s="4" t="s">
        <v>3928</v>
      </c>
      <c r="H18" s="4" t="s">
        <v>660</v>
      </c>
      <c r="I18" s="4" t="s">
        <v>3929</v>
      </c>
    </row>
    <row r="19" customFormat="false" ht="23.85" hidden="false" customHeight="false" outlineLevel="0" collapsed="false">
      <c r="A19" s="4" t="s">
        <v>3930</v>
      </c>
      <c r="B19" s="4" t="s">
        <v>3931</v>
      </c>
      <c r="C19" s="4" t="s">
        <v>3932</v>
      </c>
      <c r="D19" s="4" t="s">
        <v>85</v>
      </c>
      <c r="E19" s="4" t="s">
        <v>3933</v>
      </c>
      <c r="F19" s="4" t="s">
        <v>3934</v>
      </c>
      <c r="G19" s="4" t="s">
        <v>3935</v>
      </c>
      <c r="H19" s="4" t="s">
        <v>660</v>
      </c>
      <c r="I19" s="4"/>
    </row>
    <row r="20" customFormat="false" ht="35.05" hidden="false" customHeight="false" outlineLevel="0" collapsed="false">
      <c r="A20" s="4" t="s">
        <v>3936</v>
      </c>
      <c r="B20" s="4" t="s">
        <v>3937</v>
      </c>
      <c r="C20" s="4" t="s">
        <v>3938</v>
      </c>
      <c r="D20" s="4" t="s">
        <v>85</v>
      </c>
      <c r="E20" s="4" t="s">
        <v>3939</v>
      </c>
      <c r="F20" s="4" t="s">
        <v>3940</v>
      </c>
      <c r="G20" s="4" t="s">
        <v>3941</v>
      </c>
      <c r="H20" s="4" t="s">
        <v>660</v>
      </c>
      <c r="I20" s="4" t="s">
        <v>3942</v>
      </c>
    </row>
    <row r="21" customFormat="false" ht="23.85" hidden="false" customHeight="false" outlineLevel="0" collapsed="false">
      <c r="A21" s="4" t="s">
        <v>3943</v>
      </c>
      <c r="B21" s="4" t="s">
        <v>3944</v>
      </c>
      <c r="C21" s="4" t="s">
        <v>3945</v>
      </c>
      <c r="D21" s="4" t="s">
        <v>85</v>
      </c>
      <c r="E21" s="4" t="s">
        <v>3946</v>
      </c>
      <c r="F21" s="4" t="s">
        <v>3947</v>
      </c>
      <c r="G21" s="4" t="s">
        <v>3948</v>
      </c>
      <c r="H21" s="4" t="s">
        <v>660</v>
      </c>
      <c r="I21" s="4"/>
    </row>
    <row r="22" customFormat="false" ht="23.85" hidden="false" customHeight="false" outlineLevel="0" collapsed="false">
      <c r="A22" s="4" t="s">
        <v>3949</v>
      </c>
      <c r="B22" s="4" t="s">
        <v>3950</v>
      </c>
      <c r="C22" s="4" t="s">
        <v>3951</v>
      </c>
      <c r="D22" s="4" t="s">
        <v>85</v>
      </c>
      <c r="E22" s="4" t="s">
        <v>3952</v>
      </c>
      <c r="F22" s="4" t="s">
        <v>3953</v>
      </c>
      <c r="G22" s="4" t="s">
        <v>3954</v>
      </c>
      <c r="H22" s="4" t="s">
        <v>660</v>
      </c>
      <c r="I22" s="4"/>
    </row>
    <row r="23" customFormat="false" ht="23.85" hidden="false" customHeight="false" outlineLevel="0" collapsed="false">
      <c r="A23" s="4" t="s">
        <v>3955</v>
      </c>
      <c r="B23" s="4" t="s">
        <v>3956</v>
      </c>
      <c r="C23" s="4" t="s">
        <v>3957</v>
      </c>
      <c r="D23" s="4" t="s">
        <v>85</v>
      </c>
      <c r="E23" s="4" t="s">
        <v>3958</v>
      </c>
      <c r="F23" s="4" t="s">
        <v>3959</v>
      </c>
      <c r="G23" s="4" t="s">
        <v>3960</v>
      </c>
      <c r="H23" s="4" t="s">
        <v>660</v>
      </c>
      <c r="I23" s="4"/>
    </row>
    <row r="24" customFormat="false" ht="15" hidden="false" customHeight="false" outlineLevel="0" collapsed="false">
      <c r="A24" s="4" t="s">
        <v>3961</v>
      </c>
      <c r="B24" s="4" t="s">
        <v>3962</v>
      </c>
      <c r="C24" s="4" t="s">
        <v>3963</v>
      </c>
      <c r="D24" s="4" t="s">
        <v>85</v>
      </c>
      <c r="E24" s="4" t="s">
        <v>3964</v>
      </c>
      <c r="F24" s="4" t="s">
        <v>3965</v>
      </c>
      <c r="G24" s="4" t="s">
        <v>3966</v>
      </c>
      <c r="H24" s="4" t="s">
        <v>660</v>
      </c>
      <c r="I24" s="4"/>
    </row>
    <row r="25" customFormat="false" ht="23.85" hidden="false" customHeight="false" outlineLevel="0" collapsed="false">
      <c r="A25" s="4" t="s">
        <v>3967</v>
      </c>
      <c r="B25" s="4" t="s">
        <v>3968</v>
      </c>
      <c r="C25" s="4" t="s">
        <v>3969</v>
      </c>
      <c r="D25" s="4" t="s">
        <v>85</v>
      </c>
      <c r="E25" s="4" t="s">
        <v>3970</v>
      </c>
      <c r="F25" s="4" t="s">
        <v>3971</v>
      </c>
      <c r="G25" s="4" t="s">
        <v>3972</v>
      </c>
      <c r="H25" s="4" t="s">
        <v>660</v>
      </c>
      <c r="I25" s="4"/>
    </row>
    <row r="26" customFormat="false" ht="46.25" hidden="false" customHeight="false" outlineLevel="0" collapsed="false">
      <c r="A26" s="4" t="s">
        <v>3973</v>
      </c>
      <c r="B26" s="4" t="s">
        <v>3974</v>
      </c>
      <c r="C26" s="4" t="s">
        <v>3975</v>
      </c>
      <c r="D26" s="4" t="s">
        <v>85</v>
      </c>
      <c r="E26" s="4" t="s">
        <v>3976</v>
      </c>
      <c r="F26" s="4" t="s">
        <v>3977</v>
      </c>
      <c r="G26" s="4" t="s">
        <v>3978</v>
      </c>
      <c r="H26" s="4" t="s">
        <v>660</v>
      </c>
      <c r="I26" s="4"/>
    </row>
    <row r="27" customFormat="false" ht="68.65" hidden="false" customHeight="false" outlineLevel="0" collapsed="false">
      <c r="A27" s="4" t="s">
        <v>3979</v>
      </c>
      <c r="B27" s="4" t="s">
        <v>3980</v>
      </c>
      <c r="C27" s="4" t="s">
        <v>3981</v>
      </c>
      <c r="D27" s="4" t="s">
        <v>85</v>
      </c>
      <c r="E27" s="4" t="s">
        <v>3982</v>
      </c>
      <c r="F27" s="4" t="s">
        <v>3983</v>
      </c>
      <c r="G27" s="4" t="s">
        <v>3984</v>
      </c>
      <c r="H27" s="4" t="s">
        <v>3985</v>
      </c>
      <c r="I27" s="4" t="s">
        <v>3986</v>
      </c>
    </row>
    <row r="28" customFormat="false" ht="35.05" hidden="false" customHeight="false" outlineLevel="0" collapsed="false">
      <c r="A28" s="4" t="s">
        <v>3987</v>
      </c>
      <c r="B28" s="4" t="s">
        <v>3988</v>
      </c>
      <c r="C28" s="4" t="s">
        <v>3989</v>
      </c>
      <c r="D28" s="4" t="s">
        <v>85</v>
      </c>
      <c r="E28" s="4" t="s">
        <v>3990</v>
      </c>
      <c r="F28" s="4" t="s">
        <v>3991</v>
      </c>
      <c r="G28" s="4" t="s">
        <v>3992</v>
      </c>
      <c r="H28" s="4" t="s">
        <v>660</v>
      </c>
      <c r="I28" s="4"/>
    </row>
    <row r="29" customFormat="false" ht="15" hidden="false" customHeight="false" outlineLevel="0" collapsed="false">
      <c r="A29" s="4" t="s">
        <v>3993</v>
      </c>
      <c r="B29" s="4" t="s">
        <v>3994</v>
      </c>
      <c r="C29" s="4" t="s">
        <v>3995</v>
      </c>
      <c r="D29" s="4" t="s">
        <v>85</v>
      </c>
      <c r="E29" s="4" t="s">
        <v>85</v>
      </c>
      <c r="F29" s="4" t="s">
        <v>3996</v>
      </c>
      <c r="G29" s="4" t="s">
        <v>3997</v>
      </c>
      <c r="H29" s="4" t="s">
        <v>660</v>
      </c>
      <c r="I29" s="4"/>
    </row>
    <row r="30" customFormat="false" ht="35.05" hidden="false" customHeight="false" outlineLevel="0" collapsed="false">
      <c r="A30" s="4" t="s">
        <v>3998</v>
      </c>
      <c r="B30" s="4" t="s">
        <v>3999</v>
      </c>
      <c r="C30" s="4" t="s">
        <v>4000</v>
      </c>
      <c r="D30" s="4" t="s">
        <v>4001</v>
      </c>
      <c r="E30" s="4" t="s">
        <v>85</v>
      </c>
      <c r="F30" s="4" t="s">
        <v>69</v>
      </c>
      <c r="G30" s="4" t="s">
        <v>4002</v>
      </c>
      <c r="H30" s="4" t="s">
        <v>4003</v>
      </c>
      <c r="I30" s="4" t="s">
        <v>4004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6"/>
    <col collapsed="false" customWidth="true" hidden="false" outlineLevel="0" max="3" min="3" style="0" width="50"/>
    <col collapsed="false" customWidth="true" hidden="false" outlineLevel="0" max="4" min="4" style="0" width="60"/>
    <col collapsed="false" customWidth="true" hidden="false" outlineLevel="0" max="5" min="5" style="0" width="10"/>
    <col collapsed="false" customWidth="true" hidden="false" outlineLevel="0" max="6" min="6" style="0" width="14"/>
    <col collapsed="false" customWidth="true" hidden="false" outlineLevel="0" max="7" min="7" style="0" width="24"/>
    <col collapsed="false" customWidth="true" hidden="false" outlineLevel="0" max="8" min="8" style="0" width="50"/>
    <col collapsed="false" customWidth="true" hidden="false" outlineLevel="0" max="11" min="9" style="0" width="10"/>
  </cols>
  <sheetData>
    <row r="1" customFormat="false" ht="35.05" hidden="false" customHeight="false" outlineLevel="0" collapsed="false">
      <c r="A1" s="3" t="s">
        <v>4005</v>
      </c>
      <c r="B1" s="3" t="s">
        <v>4006</v>
      </c>
      <c r="C1" s="3" t="s">
        <v>4007</v>
      </c>
      <c r="D1" s="3" t="s">
        <v>4008</v>
      </c>
      <c r="E1" s="3" t="s">
        <v>48</v>
      </c>
      <c r="F1" s="3" t="s">
        <v>49</v>
      </c>
      <c r="G1" s="3" t="s">
        <v>4009</v>
      </c>
      <c r="H1" s="3" t="s">
        <v>4010</v>
      </c>
      <c r="I1" s="3" t="s">
        <v>4011</v>
      </c>
      <c r="J1" s="3" t="s">
        <v>27</v>
      </c>
      <c r="K1" s="3" t="s">
        <v>4012</v>
      </c>
    </row>
    <row r="2" customFormat="false" ht="68.65" hidden="false" customHeight="false" outlineLevel="0" collapsed="false">
      <c r="A2" s="4" t="n">
        <v>0</v>
      </c>
      <c r="B2" s="4" t="s">
        <v>62</v>
      </c>
      <c r="C2" s="4" t="s">
        <v>4013</v>
      </c>
      <c r="D2" s="4" t="s">
        <v>4014</v>
      </c>
      <c r="E2" s="4" t="s">
        <v>4015</v>
      </c>
      <c r="F2" s="4" t="s">
        <v>316</v>
      </c>
      <c r="G2" s="4" t="s">
        <v>3712</v>
      </c>
      <c r="H2" s="4" t="s">
        <v>4016</v>
      </c>
      <c r="I2" s="4" t="n">
        <f aca="false">COUNTIF(Operations!$E:$E,B2)+COUNTIF('page.tsx rules'!$E:$E,B2)</f>
        <v>12</v>
      </c>
      <c r="J2" s="4" t="n">
        <f aca="false">COUNTIFS(Operations!$E:$E,B2,Operations!$I:$I,"Mostly pure")+COUNTIFS('page.tsx rules'!$E:$E,B2,'page.tsx rules'!$I:$I,"Mostly pure")</f>
        <v>5</v>
      </c>
      <c r="K2" s="4" t="n">
        <f aca="false">COUNTIFS(Operations!$E:$E,B2,Operations!$H:$H,"Yes")+COUNTIFS('page.tsx rules'!$E:$E,B2,'page.tsx rules'!$H:$H,"Yes")</f>
        <v>4</v>
      </c>
    </row>
    <row r="3" customFormat="false" ht="113.4" hidden="false" customHeight="false" outlineLevel="0" collapsed="false">
      <c r="A3" s="4" t="n">
        <v>1</v>
      </c>
      <c r="B3" s="4" t="s">
        <v>218</v>
      </c>
      <c r="C3" s="4" t="s">
        <v>4017</v>
      </c>
      <c r="D3" s="4" t="s">
        <v>4018</v>
      </c>
      <c r="E3" s="4" t="s">
        <v>103</v>
      </c>
      <c r="F3" s="4" t="s">
        <v>316</v>
      </c>
      <c r="G3" s="4" t="s">
        <v>4019</v>
      </c>
      <c r="H3" s="4" t="s">
        <v>4020</v>
      </c>
      <c r="I3" s="4" t="n">
        <f aca="false">COUNTIF(Operations!$E:$E,B3)+COUNTIF('page.tsx rules'!$E:$E,B3)</f>
        <v>37</v>
      </c>
      <c r="J3" s="4" t="n">
        <f aca="false">COUNTIFS(Operations!$E:$E,B3,Operations!$I:$I,"Mostly pure")+COUNTIFS('page.tsx rules'!$E:$E,B3,'page.tsx rules'!$I:$I,"Mostly pure")</f>
        <v>15</v>
      </c>
      <c r="K3" s="4" t="n">
        <f aca="false">COUNTIFS(Operations!$E:$E,B3,Operations!$H:$H,"Yes")+COUNTIFS('page.tsx rules'!$E:$E,B3,'page.tsx rules'!$H:$H,"Yes")</f>
        <v>21</v>
      </c>
    </row>
    <row r="4" customFormat="false" ht="91" hidden="false" customHeight="false" outlineLevel="0" collapsed="false">
      <c r="A4" s="4" t="n">
        <v>2</v>
      </c>
      <c r="B4" s="4" t="s">
        <v>637</v>
      </c>
      <c r="C4" s="4" t="s">
        <v>4021</v>
      </c>
      <c r="D4" s="4" t="s">
        <v>4022</v>
      </c>
      <c r="E4" s="4" t="s">
        <v>4023</v>
      </c>
      <c r="F4" s="4" t="s">
        <v>4024</v>
      </c>
      <c r="G4" s="4" t="s">
        <v>4019</v>
      </c>
      <c r="H4" s="4" t="s">
        <v>4025</v>
      </c>
      <c r="I4" s="4" t="n">
        <f aca="false">COUNTIF(Operations!$E:$E,B4)+COUNTIF('page.tsx rules'!$E:$E,B4)</f>
        <v>8</v>
      </c>
      <c r="J4" s="4" t="n">
        <f aca="false">COUNTIFS(Operations!$E:$E,B4,Operations!$I:$I,"Mostly pure")+COUNTIFS('page.tsx rules'!$E:$E,B4,'page.tsx rules'!$I:$I,"Mostly pure")</f>
        <v>5</v>
      </c>
      <c r="K4" s="4" t="n">
        <f aca="false">COUNTIFS(Operations!$E:$E,B4,Operations!$H:$H,"Yes")+COUNTIFS('page.tsx rules'!$E:$E,B4,'page.tsx rules'!$H:$H,"Yes")</f>
        <v>2</v>
      </c>
    </row>
    <row r="5" customFormat="false" ht="46.25" hidden="false" customHeight="false" outlineLevel="0" collapsed="false">
      <c r="A5" s="4" t="n">
        <v>3</v>
      </c>
      <c r="B5" s="4" t="s">
        <v>734</v>
      </c>
      <c r="C5" s="4" t="s">
        <v>4026</v>
      </c>
      <c r="D5" s="4" t="s">
        <v>4027</v>
      </c>
      <c r="E5" s="4" t="s">
        <v>4028</v>
      </c>
      <c r="F5" s="4" t="s">
        <v>4029</v>
      </c>
      <c r="G5" s="4" t="s">
        <v>4030</v>
      </c>
      <c r="H5" s="4" t="s">
        <v>4031</v>
      </c>
      <c r="I5" s="4" t="n">
        <f aca="false">COUNTIF(Operations!$E:$E,B5)+COUNTIF('page.tsx rules'!$E:$E,B5)</f>
        <v>5</v>
      </c>
      <c r="J5" s="4" t="n">
        <f aca="false">COUNTIFS(Operations!$E:$E,B5,Operations!$I:$I,"Mostly pure")+COUNTIFS('page.tsx rules'!$E:$E,B5,'page.tsx rules'!$I:$I,"Mostly pure")</f>
        <v>4</v>
      </c>
      <c r="K5" s="4" t="n">
        <f aca="false">COUNTIFS(Operations!$E:$E,B5,Operations!$H:$H,"Yes")+COUNTIFS('page.tsx rules'!$E:$E,B5,'page.tsx rules'!$H:$H,"Yes")</f>
        <v>0</v>
      </c>
    </row>
    <row r="6" customFormat="false" ht="46.25" hidden="false" customHeight="false" outlineLevel="0" collapsed="false">
      <c r="A6" s="4" t="n">
        <v>4</v>
      </c>
      <c r="B6" s="4" t="s">
        <v>800</v>
      </c>
      <c r="C6" s="4" t="s">
        <v>4032</v>
      </c>
      <c r="D6" s="4" t="s">
        <v>4033</v>
      </c>
      <c r="E6" s="4" t="s">
        <v>103</v>
      </c>
      <c r="F6" s="4" t="s">
        <v>4034</v>
      </c>
      <c r="G6" s="4" t="s">
        <v>4035</v>
      </c>
      <c r="H6" s="4" t="s">
        <v>4036</v>
      </c>
      <c r="I6" s="4" t="n">
        <f aca="false">COUNTIF(Operations!$E:$E,B6)+COUNTIF('page.tsx rules'!$E:$E,B6)</f>
        <v>17</v>
      </c>
      <c r="J6" s="4" t="n">
        <f aca="false">COUNTIFS(Operations!$E:$E,B6,Operations!$I:$I,"Mostly pure")+COUNTIFS('page.tsx rules'!$E:$E,B6,'page.tsx rules'!$I:$I,"Mostly pure")</f>
        <v>1</v>
      </c>
      <c r="K6" s="4" t="n">
        <f aca="false">COUNTIFS(Operations!$E:$E,B6,Operations!$H:$H,"Yes")+COUNTIFS('page.tsx rules'!$E:$E,B6,'page.tsx rules'!$H:$H,"Yes")</f>
        <v>7</v>
      </c>
    </row>
    <row r="7" customFormat="false" ht="46.25" hidden="false" customHeight="false" outlineLevel="0" collapsed="false">
      <c r="A7" s="4" t="n">
        <v>5</v>
      </c>
      <c r="B7" s="4" t="s">
        <v>916</v>
      </c>
      <c r="C7" s="4" t="s">
        <v>4037</v>
      </c>
      <c r="D7" s="4" t="s">
        <v>4038</v>
      </c>
      <c r="E7" s="4" t="s">
        <v>103</v>
      </c>
      <c r="F7" s="4" t="s">
        <v>4039</v>
      </c>
      <c r="G7" s="4" t="s">
        <v>4040</v>
      </c>
      <c r="H7" s="4" t="s">
        <v>4041</v>
      </c>
      <c r="I7" s="4" t="n">
        <f aca="false">COUNTIF(Operations!$E:$E,B7)+COUNTIF('page.tsx rules'!$E:$E,B7)</f>
        <v>10</v>
      </c>
      <c r="J7" s="4" t="n">
        <f aca="false">COUNTIFS(Operations!$E:$E,B7,Operations!$I:$I,"Mostly pure")+COUNTIFS('page.tsx rules'!$E:$E,B7,'page.tsx rules'!$I:$I,"Mostly pure")</f>
        <v>3</v>
      </c>
      <c r="K7" s="4" t="n">
        <f aca="false">COUNTIFS(Operations!$E:$E,B7,Operations!$H:$H,"Yes")+COUNTIFS('page.tsx rules'!$E:$E,B7,'page.tsx rules'!$H:$H,"Yes")</f>
        <v>3</v>
      </c>
    </row>
    <row r="8" customFormat="false" ht="46.25" hidden="false" customHeight="false" outlineLevel="0" collapsed="false">
      <c r="A8" s="4" t="n">
        <v>6</v>
      </c>
      <c r="B8" s="4" t="s">
        <v>1012</v>
      </c>
      <c r="C8" s="4" t="s">
        <v>4042</v>
      </c>
      <c r="D8" s="4" t="s">
        <v>4043</v>
      </c>
      <c r="E8" s="4" t="s">
        <v>103</v>
      </c>
      <c r="F8" s="4" t="s">
        <v>4044</v>
      </c>
      <c r="G8" s="4" t="s">
        <v>4045</v>
      </c>
      <c r="H8" s="4" t="s">
        <v>4046</v>
      </c>
      <c r="I8" s="4" t="n">
        <f aca="false">COUNTIF(Operations!$E:$E,B8)+COUNTIF('page.tsx rules'!$E:$E,B8)</f>
        <v>12</v>
      </c>
      <c r="J8" s="4" t="n">
        <f aca="false">COUNTIFS(Operations!$E:$E,B8,Operations!$I:$I,"Mostly pure")+COUNTIFS('page.tsx rules'!$E:$E,B8,'page.tsx rules'!$I:$I,"Mostly pure")</f>
        <v>7</v>
      </c>
      <c r="K8" s="4" t="n">
        <f aca="false">COUNTIFS(Operations!$E:$E,B8,Operations!$H:$H,"Yes")+COUNTIFS('page.tsx rules'!$E:$E,B8,'page.tsx rules'!$H:$H,"Yes")</f>
        <v>7</v>
      </c>
    </row>
    <row r="9" customFormat="false" ht="91" hidden="false" customHeight="false" outlineLevel="0" collapsed="false">
      <c r="A9" s="4" t="n">
        <v>7</v>
      </c>
      <c r="B9" s="4" t="s">
        <v>1040</v>
      </c>
      <c r="C9" s="4" t="s">
        <v>4047</v>
      </c>
      <c r="D9" s="4" t="s">
        <v>4048</v>
      </c>
      <c r="E9" s="4" t="s">
        <v>854</v>
      </c>
      <c r="F9" s="4" t="s">
        <v>316</v>
      </c>
      <c r="G9" s="4" t="s">
        <v>4049</v>
      </c>
      <c r="H9" s="4" t="s">
        <v>4050</v>
      </c>
      <c r="I9" s="4" t="n">
        <f aca="false">COUNTIF(Operations!$E:$E,B9)+COUNTIF('page.tsx rules'!$E:$E,B9)</f>
        <v>27</v>
      </c>
      <c r="J9" s="4" t="n">
        <f aca="false">COUNTIFS(Operations!$E:$E,B9,Operations!$I:$I,"Mostly pure")+COUNTIFS('page.tsx rules'!$E:$E,B9,'page.tsx rules'!$I:$I,"Mostly pure")</f>
        <v>11</v>
      </c>
      <c r="K9" s="4" t="n">
        <f aca="false">COUNTIFS(Operations!$E:$E,B9,Operations!$H:$H,"Yes")+COUNTIFS('page.tsx rules'!$E:$E,B9,'page.tsx rules'!$H:$H,"Yes")</f>
        <v>15</v>
      </c>
    </row>
    <row r="10" customFormat="false" ht="68.65" hidden="false" customHeight="false" outlineLevel="0" collapsed="false">
      <c r="A10" s="4" t="n">
        <v>8</v>
      </c>
      <c r="B10" s="4" t="s">
        <v>1311</v>
      </c>
      <c r="C10" s="4" t="s">
        <v>4051</v>
      </c>
      <c r="D10" s="4" t="s">
        <v>4052</v>
      </c>
      <c r="E10" s="4" t="s">
        <v>854</v>
      </c>
      <c r="F10" s="4" t="s">
        <v>4053</v>
      </c>
      <c r="G10" s="4" t="s">
        <v>4054</v>
      </c>
      <c r="H10" s="4" t="s">
        <v>4055</v>
      </c>
      <c r="I10" s="4" t="n">
        <f aca="false">COUNTIF(Operations!$E:$E,B10)+COUNTIF('page.tsx rules'!$E:$E,B10)</f>
        <v>29</v>
      </c>
      <c r="J10" s="4" t="n">
        <f aca="false">COUNTIFS(Operations!$E:$E,B10,Operations!$I:$I,"Mostly pure")+COUNTIFS('page.tsx rules'!$E:$E,B10,'page.tsx rules'!$I:$I,"Mostly pure")</f>
        <v>8</v>
      </c>
      <c r="K10" s="4" t="n">
        <f aca="false">COUNTIFS(Operations!$E:$E,B10,Operations!$H:$H,"Yes")+COUNTIFS('page.tsx rules'!$E:$E,B10,'page.tsx rules'!$H:$H,"Yes")</f>
        <v>16</v>
      </c>
    </row>
    <row r="11" customFormat="false" ht="68.65" hidden="false" customHeight="false" outlineLevel="0" collapsed="false">
      <c r="A11" s="4" t="n">
        <v>9</v>
      </c>
      <c r="B11" s="4" t="s">
        <v>1438</v>
      </c>
      <c r="C11" s="4" t="s">
        <v>4056</v>
      </c>
      <c r="D11" s="4" t="s">
        <v>4057</v>
      </c>
      <c r="E11" s="4" t="s">
        <v>854</v>
      </c>
      <c r="F11" s="4" t="s">
        <v>4058</v>
      </c>
      <c r="G11" s="4" t="s">
        <v>4059</v>
      </c>
      <c r="H11" s="4" t="s">
        <v>4060</v>
      </c>
      <c r="I11" s="4" t="n">
        <f aca="false">COUNTIF(Operations!$E:$E,B11)+COUNTIF('page.tsx rules'!$E:$E,B11)</f>
        <v>47</v>
      </c>
      <c r="J11" s="4" t="n">
        <f aca="false">COUNTIFS(Operations!$E:$E,B11,Operations!$I:$I,"Mostly pure")+COUNTIFS('page.tsx rules'!$E:$E,B11,'page.tsx rules'!$I:$I,"Mostly pure")</f>
        <v>19</v>
      </c>
      <c r="K11" s="4" t="n">
        <f aca="false">COUNTIFS(Operations!$E:$E,B11,Operations!$H:$H,"Yes")+COUNTIFS('page.tsx rules'!$E:$E,B11,'page.tsx rules'!$H:$H,"Yes")</f>
        <v>18</v>
      </c>
    </row>
    <row r="12" customFormat="false" ht="46.25" hidden="false" customHeight="false" outlineLevel="0" collapsed="false">
      <c r="A12" s="4" t="n">
        <v>10</v>
      </c>
      <c r="B12" s="4" t="s">
        <v>1964</v>
      </c>
      <c r="C12" s="4" t="s">
        <v>4061</v>
      </c>
      <c r="D12" s="4" t="s">
        <v>4062</v>
      </c>
      <c r="E12" s="4" t="s">
        <v>854</v>
      </c>
      <c r="F12" s="4" t="s">
        <v>4063</v>
      </c>
      <c r="G12" s="4" t="s">
        <v>4064</v>
      </c>
      <c r="H12" s="4" t="s">
        <v>4065</v>
      </c>
      <c r="I12" s="4" t="n">
        <f aca="false">COUNTIF(Operations!$E:$E,B12)+COUNTIF('page.tsx rules'!$E:$E,B12)</f>
        <v>6</v>
      </c>
      <c r="J12" s="4" t="n">
        <f aca="false">COUNTIFS(Operations!$E:$E,B12,Operations!$I:$I,"Mostly pure")+COUNTIFS('page.tsx rules'!$E:$E,B12,'page.tsx rules'!$I:$I,"Mostly pure")</f>
        <v>1</v>
      </c>
      <c r="K12" s="4" t="n">
        <f aca="false">COUNTIFS(Operations!$E:$E,B12,Operations!$H:$H,"Yes")+COUNTIFS('page.tsx rules'!$E:$E,B12,'page.tsx rules'!$H:$H,"Yes")</f>
        <v>2</v>
      </c>
    </row>
    <row r="13" customFormat="false" ht="68.65" hidden="false" customHeight="false" outlineLevel="0" collapsed="false">
      <c r="A13" s="4" t="s">
        <v>3712</v>
      </c>
      <c r="B13" s="4" t="s">
        <v>2035</v>
      </c>
      <c r="C13" s="4" t="s">
        <v>4066</v>
      </c>
      <c r="D13" s="4" t="s">
        <v>4067</v>
      </c>
      <c r="E13" s="4" t="s">
        <v>3712</v>
      </c>
      <c r="F13" s="4" t="s">
        <v>3712</v>
      </c>
      <c r="G13" s="4" t="s">
        <v>4068</v>
      </c>
      <c r="H13" s="4" t="s">
        <v>4069</v>
      </c>
      <c r="I13" s="4" t="n">
        <f aca="false">COUNTIF(Operations!$E:$E,B13)+COUNTIF('page.tsx rules'!$E:$E,B13)</f>
        <v>90</v>
      </c>
      <c r="J13" s="4" t="n">
        <f aca="false">COUNTIFS(Operations!$E:$E,B13,Operations!$I:$I,"Mostly pure")+COUNTIFS('page.tsx rules'!$E:$E,B13,'page.tsx rules'!$I:$I,"Mostly pure")</f>
        <v>11</v>
      </c>
      <c r="K13" s="4" t="n">
        <f aca="false">COUNTIFS(Operations!$E:$E,B13,Operations!$H:$H,"Yes")+COUNTIFS('page.tsx rules'!$E:$E,B13,'page.tsx rules'!$H:$H,"Yes")</f>
        <v>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0"/>
    <col collapsed="false" customWidth="true" hidden="false" outlineLevel="0" max="3" min="3" style="0" width="70"/>
    <col collapsed="false" customWidth="true" hidden="false" outlineLevel="0" max="4" min="4" style="0" width="55"/>
    <col collapsed="false" customWidth="true" hidden="false" outlineLevel="0" max="5" min="5" style="0" width="24"/>
    <col collapsed="false" customWidth="true" hidden="false" outlineLevel="0" max="6" min="6" style="0" width="30"/>
  </cols>
  <sheetData>
    <row r="1" customFormat="false" ht="15" hidden="false" customHeight="false" outlineLevel="0" collapsed="false">
      <c r="A1" s="3" t="s">
        <v>33</v>
      </c>
      <c r="B1" s="3" t="s">
        <v>4070</v>
      </c>
      <c r="C1" s="3" t="s">
        <v>4071</v>
      </c>
      <c r="D1" s="3" t="s">
        <v>4072</v>
      </c>
      <c r="E1" s="3" t="s">
        <v>4073</v>
      </c>
      <c r="F1" s="3" t="s">
        <v>4074</v>
      </c>
    </row>
    <row r="2" customFormat="false" ht="35.05" hidden="false" customHeight="false" outlineLevel="0" collapsed="false">
      <c r="A2" s="4" t="s">
        <v>4075</v>
      </c>
      <c r="B2" s="4" t="s">
        <v>4076</v>
      </c>
      <c r="C2" s="4" t="s">
        <v>4077</v>
      </c>
      <c r="D2" s="4" t="s">
        <v>4078</v>
      </c>
      <c r="E2" s="4" t="s">
        <v>4079</v>
      </c>
      <c r="F2" s="4"/>
    </row>
    <row r="3" customFormat="false" ht="35.05" hidden="false" customHeight="false" outlineLevel="0" collapsed="false">
      <c r="A3" s="4" t="s">
        <v>4080</v>
      </c>
      <c r="B3" s="4" t="s">
        <v>4081</v>
      </c>
      <c r="C3" s="4" t="s">
        <v>4082</v>
      </c>
      <c r="D3" s="4" t="s">
        <v>4083</v>
      </c>
      <c r="E3" s="4" t="s">
        <v>1319</v>
      </c>
      <c r="F3" s="4"/>
    </row>
    <row r="4" customFormat="false" ht="23.85" hidden="false" customHeight="false" outlineLevel="0" collapsed="false">
      <c r="A4" s="4" t="s">
        <v>4084</v>
      </c>
      <c r="B4" s="4" t="s">
        <v>4085</v>
      </c>
      <c r="C4" s="4" t="s">
        <v>4086</v>
      </c>
      <c r="D4" s="4" t="s">
        <v>4087</v>
      </c>
      <c r="E4" s="4" t="s">
        <v>4088</v>
      </c>
      <c r="F4" s="4"/>
    </row>
    <row r="5" customFormat="false" ht="35.05" hidden="false" customHeight="false" outlineLevel="0" collapsed="false">
      <c r="A5" s="4" t="s">
        <v>4089</v>
      </c>
      <c r="B5" s="4" t="s">
        <v>4090</v>
      </c>
      <c r="C5" s="4" t="s">
        <v>4091</v>
      </c>
      <c r="D5" s="4" t="s">
        <v>4092</v>
      </c>
      <c r="E5" s="4" t="s">
        <v>4093</v>
      </c>
      <c r="F5" s="4"/>
    </row>
    <row r="6" customFormat="false" ht="35.05" hidden="false" customHeight="false" outlineLevel="0" collapsed="false">
      <c r="A6" s="4" t="s">
        <v>4094</v>
      </c>
      <c r="B6" s="4" t="s">
        <v>4095</v>
      </c>
      <c r="C6" s="4" t="s">
        <v>4096</v>
      </c>
      <c r="D6" s="4" t="s">
        <v>4097</v>
      </c>
      <c r="E6" s="4" t="s">
        <v>4098</v>
      </c>
      <c r="F6" s="4"/>
    </row>
    <row r="7" customFormat="false" ht="35.05" hidden="false" customHeight="false" outlineLevel="0" collapsed="false">
      <c r="A7" s="4" t="s">
        <v>4099</v>
      </c>
      <c r="B7" s="4" t="s">
        <v>4100</v>
      </c>
      <c r="C7" s="4" t="s">
        <v>4101</v>
      </c>
      <c r="D7" s="4" t="s">
        <v>4102</v>
      </c>
      <c r="E7" s="4" t="s">
        <v>1022</v>
      </c>
      <c r="F7" s="4"/>
    </row>
    <row r="8" customFormat="false" ht="35.05" hidden="false" customHeight="false" outlineLevel="0" collapsed="false">
      <c r="A8" s="4" t="s">
        <v>4103</v>
      </c>
      <c r="B8" s="4" t="s">
        <v>4104</v>
      </c>
      <c r="C8" s="4" t="s">
        <v>4105</v>
      </c>
      <c r="D8" s="4" t="s">
        <v>4106</v>
      </c>
      <c r="E8" s="4" t="s">
        <v>1469</v>
      </c>
      <c r="F8" s="4"/>
    </row>
    <row r="9" customFormat="false" ht="46.25" hidden="false" customHeight="false" outlineLevel="0" collapsed="false">
      <c r="A9" s="4" t="s">
        <v>4107</v>
      </c>
      <c r="B9" s="4" t="s">
        <v>4108</v>
      </c>
      <c r="C9" s="4" t="s">
        <v>4109</v>
      </c>
      <c r="D9" s="4" t="s">
        <v>4110</v>
      </c>
      <c r="E9" s="4" t="s">
        <v>4111</v>
      </c>
      <c r="F9" s="4"/>
    </row>
    <row r="10" customFormat="false" ht="23.85" hidden="false" customHeight="false" outlineLevel="0" collapsed="false">
      <c r="A10" s="4" t="s">
        <v>4112</v>
      </c>
      <c r="B10" s="4" t="s">
        <v>4113</v>
      </c>
      <c r="C10" s="4" t="s">
        <v>4114</v>
      </c>
      <c r="D10" s="4" t="s">
        <v>4115</v>
      </c>
      <c r="E10" s="4" t="s">
        <v>4116</v>
      </c>
      <c r="F10" s="4"/>
    </row>
    <row r="11" customFormat="false" ht="46.25" hidden="false" customHeight="false" outlineLevel="0" collapsed="false">
      <c r="A11" s="4" t="s">
        <v>4117</v>
      </c>
      <c r="B11" s="4" t="s">
        <v>4118</v>
      </c>
      <c r="C11" s="4" t="s">
        <v>4119</v>
      </c>
      <c r="D11" s="4" t="s">
        <v>4120</v>
      </c>
      <c r="E11" s="4" t="s">
        <v>4121</v>
      </c>
      <c r="F11" s="4"/>
    </row>
    <row r="12" customFormat="false" ht="35.05" hidden="false" customHeight="false" outlineLevel="0" collapsed="false">
      <c r="A12" s="4" t="s">
        <v>4122</v>
      </c>
      <c r="B12" s="4" t="s">
        <v>4123</v>
      </c>
      <c r="C12" s="4" t="s">
        <v>4124</v>
      </c>
      <c r="D12" s="4" t="s">
        <v>4125</v>
      </c>
      <c r="E12" s="4" t="s">
        <v>4126</v>
      </c>
      <c r="F12" s="4"/>
    </row>
    <row r="13" customFormat="false" ht="35.05" hidden="false" customHeight="false" outlineLevel="0" collapsed="false">
      <c r="A13" s="4" t="s">
        <v>4127</v>
      </c>
      <c r="B13" s="4" t="s">
        <v>4128</v>
      </c>
      <c r="C13" s="4" t="s">
        <v>4129</v>
      </c>
      <c r="D13" s="4" t="s">
        <v>4130</v>
      </c>
      <c r="E13" s="4" t="s">
        <v>4131</v>
      </c>
      <c r="F13" s="4"/>
    </row>
    <row r="14" customFormat="false" ht="23.85" hidden="false" customHeight="false" outlineLevel="0" collapsed="false">
      <c r="A14" s="4" t="s">
        <v>4132</v>
      </c>
      <c r="B14" s="4" t="s">
        <v>4133</v>
      </c>
      <c r="C14" s="4" t="s">
        <v>4134</v>
      </c>
      <c r="D14" s="4" t="s">
        <v>4135</v>
      </c>
      <c r="E14" s="4" t="s">
        <v>4136</v>
      </c>
      <c r="F14" s="4"/>
    </row>
    <row r="15" customFormat="false" ht="23.85" hidden="false" customHeight="false" outlineLevel="0" collapsed="false">
      <c r="A15" s="4" t="s">
        <v>4137</v>
      </c>
      <c r="B15" s="4" t="s">
        <v>4138</v>
      </c>
      <c r="C15" s="4" t="s">
        <v>4139</v>
      </c>
      <c r="D15" s="4" t="s">
        <v>4140</v>
      </c>
      <c r="E15" s="4" t="s">
        <v>4141</v>
      </c>
      <c r="F15" s="4"/>
    </row>
    <row r="16" customFormat="false" ht="35.05" hidden="false" customHeight="false" outlineLevel="0" collapsed="false">
      <c r="A16" s="4" t="s">
        <v>4142</v>
      </c>
      <c r="B16" s="4" t="s">
        <v>4143</v>
      </c>
      <c r="C16" s="4" t="s">
        <v>4144</v>
      </c>
      <c r="D16" s="4" t="s">
        <v>4145</v>
      </c>
      <c r="E16" s="4" t="s">
        <v>4146</v>
      </c>
      <c r="F16" s="4"/>
    </row>
    <row r="17" customFormat="false" ht="35.05" hidden="false" customHeight="false" outlineLevel="0" collapsed="false">
      <c r="A17" s="4" t="s">
        <v>4147</v>
      </c>
      <c r="B17" s="4" t="s">
        <v>4148</v>
      </c>
      <c r="C17" s="4" t="s">
        <v>4149</v>
      </c>
      <c r="D17" s="4" t="s">
        <v>4150</v>
      </c>
      <c r="E17" s="4" t="s">
        <v>4019</v>
      </c>
      <c r="F17" s="4"/>
    </row>
    <row r="18" customFormat="false" ht="23.85" hidden="false" customHeight="false" outlineLevel="0" collapsed="false">
      <c r="A18" s="4" t="s">
        <v>4151</v>
      </c>
      <c r="B18" s="4" t="s">
        <v>4152</v>
      </c>
      <c r="C18" s="4" t="s">
        <v>4153</v>
      </c>
      <c r="D18" s="4" t="s">
        <v>4154</v>
      </c>
      <c r="E18" s="4" t="s">
        <v>4155</v>
      </c>
      <c r="F18" s="4"/>
    </row>
    <row r="19" customFormat="false" ht="46.25" hidden="false" customHeight="false" outlineLevel="0" collapsed="false">
      <c r="A19" s="4" t="s">
        <v>4156</v>
      </c>
      <c r="B19" s="4" t="s">
        <v>4157</v>
      </c>
      <c r="C19" s="4" t="s">
        <v>4158</v>
      </c>
      <c r="D19" s="4" t="s">
        <v>4159</v>
      </c>
      <c r="E19" s="4" t="s">
        <v>4019</v>
      </c>
      <c r="F19" s="4"/>
    </row>
    <row r="20" customFormat="false" ht="23.85" hidden="false" customHeight="false" outlineLevel="0" collapsed="false">
      <c r="A20" s="4" t="s">
        <v>4160</v>
      </c>
      <c r="B20" s="4" t="s">
        <v>4161</v>
      </c>
      <c r="C20" s="4" t="s">
        <v>4162</v>
      </c>
      <c r="D20" s="4" t="s">
        <v>4163</v>
      </c>
      <c r="E20" s="4" t="s">
        <v>4155</v>
      </c>
      <c r="F20" s="4"/>
    </row>
    <row r="21" customFormat="false" ht="23.85" hidden="false" customHeight="false" outlineLevel="0" collapsed="false">
      <c r="A21" s="4" t="s">
        <v>4164</v>
      </c>
      <c r="B21" s="4" t="s">
        <v>4165</v>
      </c>
      <c r="C21" s="4" t="s">
        <v>4166</v>
      </c>
      <c r="D21" s="4" t="s">
        <v>4167</v>
      </c>
      <c r="E21" s="4" t="s">
        <v>1319</v>
      </c>
      <c r="F21" s="4"/>
    </row>
    <row r="22" customFormat="false" ht="23.85" hidden="false" customHeight="false" outlineLevel="0" collapsed="false">
      <c r="A22" s="4" t="s">
        <v>4168</v>
      </c>
      <c r="B22" s="4" t="s">
        <v>4169</v>
      </c>
      <c r="C22" s="4" t="s">
        <v>4170</v>
      </c>
      <c r="D22" s="4" t="s">
        <v>4171</v>
      </c>
      <c r="E22" s="4" t="s">
        <v>226</v>
      </c>
      <c r="F22"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50"/>
    <col collapsed="false" customWidth="true" hidden="false" outlineLevel="0" max="3" min="3" style="0" width="32"/>
    <col collapsed="false" customWidth="true" hidden="false" outlineLevel="0" max="4" min="4" style="0" width="45"/>
    <col collapsed="false" customWidth="true" hidden="false" outlineLevel="0" max="5" min="5" style="0" width="8"/>
    <col collapsed="false" customWidth="true" hidden="false" outlineLevel="0" max="6" min="6" style="0" width="50"/>
  </cols>
  <sheetData>
    <row r="1" customFormat="false" ht="15" hidden="false" customHeight="false" outlineLevel="0" collapsed="false">
      <c r="A1" s="3" t="s">
        <v>33</v>
      </c>
      <c r="B1" s="3" t="s">
        <v>4172</v>
      </c>
      <c r="C1" s="3" t="s">
        <v>4173</v>
      </c>
      <c r="D1" s="3" t="s">
        <v>4174</v>
      </c>
      <c r="E1" s="3" t="s">
        <v>4175</v>
      </c>
      <c r="F1" s="3" t="s">
        <v>4176</v>
      </c>
    </row>
    <row r="2" customFormat="false" ht="23.85" hidden="false" customHeight="false" outlineLevel="0" collapsed="false">
      <c r="A2" s="4" t="s">
        <v>4177</v>
      </c>
      <c r="B2" s="4" t="s">
        <v>4178</v>
      </c>
      <c r="C2" s="4" t="s">
        <v>4179</v>
      </c>
      <c r="D2" s="4" t="s">
        <v>4180</v>
      </c>
      <c r="E2" s="4" t="s">
        <v>74</v>
      </c>
      <c r="F2" s="4" t="s">
        <v>4181</v>
      </c>
    </row>
    <row r="3" customFormat="false" ht="23.85" hidden="false" customHeight="false" outlineLevel="0" collapsed="false">
      <c r="A3" s="4" t="s">
        <v>4182</v>
      </c>
      <c r="B3" s="4" t="s">
        <v>4183</v>
      </c>
      <c r="C3" s="4" t="s">
        <v>876</v>
      </c>
      <c r="D3" s="4" t="s">
        <v>4184</v>
      </c>
      <c r="E3" s="4" t="s">
        <v>74</v>
      </c>
      <c r="F3" s="4" t="s">
        <v>4185</v>
      </c>
    </row>
    <row r="4" customFormat="false" ht="15" hidden="false" customHeight="false" outlineLevel="0" collapsed="false">
      <c r="A4" s="4" t="s">
        <v>4186</v>
      </c>
      <c r="B4" s="4" t="s">
        <v>4187</v>
      </c>
      <c r="C4" s="4" t="s">
        <v>4188</v>
      </c>
      <c r="D4" s="4" t="s">
        <v>4189</v>
      </c>
      <c r="E4" s="4" t="s">
        <v>316</v>
      </c>
      <c r="F4" s="4" t="s">
        <v>4190</v>
      </c>
    </row>
    <row r="5" customFormat="false" ht="35.05" hidden="false" customHeight="false" outlineLevel="0" collapsed="false">
      <c r="A5" s="4" t="s">
        <v>4191</v>
      </c>
      <c r="B5" s="4" t="s">
        <v>4192</v>
      </c>
      <c r="C5" s="4" t="s">
        <v>4193</v>
      </c>
      <c r="D5" s="4" t="s">
        <v>4194</v>
      </c>
      <c r="E5" s="4" t="s">
        <v>74</v>
      </c>
      <c r="F5" s="4" t="s">
        <v>4195</v>
      </c>
    </row>
    <row r="6" customFormat="false" ht="23.85" hidden="false" customHeight="false" outlineLevel="0" collapsed="false">
      <c r="A6" s="4" t="s">
        <v>4196</v>
      </c>
      <c r="B6" s="4" t="s">
        <v>4197</v>
      </c>
      <c r="C6" s="4" t="s">
        <v>491</v>
      </c>
      <c r="D6" s="4" t="s">
        <v>4198</v>
      </c>
      <c r="E6" s="4" t="s">
        <v>74</v>
      </c>
      <c r="F6" s="4" t="s">
        <v>4199</v>
      </c>
    </row>
    <row r="7" customFormat="false" ht="23.85" hidden="false" customHeight="false" outlineLevel="0" collapsed="false">
      <c r="A7" s="4" t="s">
        <v>4200</v>
      </c>
      <c r="B7" s="4" t="s">
        <v>4201</v>
      </c>
      <c r="C7" s="4" t="s">
        <v>4202</v>
      </c>
      <c r="D7" s="4" t="s">
        <v>4203</v>
      </c>
      <c r="E7" s="4" t="s">
        <v>316</v>
      </c>
      <c r="F7" s="4" t="s">
        <v>4204</v>
      </c>
    </row>
    <row r="8" customFormat="false" ht="23.85" hidden="false" customHeight="false" outlineLevel="0" collapsed="false">
      <c r="A8" s="4" t="s">
        <v>4205</v>
      </c>
      <c r="B8" s="4" t="s">
        <v>4206</v>
      </c>
      <c r="C8" s="4" t="s">
        <v>4207</v>
      </c>
      <c r="D8" s="4" t="s">
        <v>4208</v>
      </c>
      <c r="E8" s="4" t="s">
        <v>74</v>
      </c>
      <c r="F8" s="4" t="s">
        <v>4209</v>
      </c>
    </row>
    <row r="9" customFormat="false" ht="35.05" hidden="false" customHeight="false" outlineLevel="0" collapsed="false">
      <c r="A9" s="4" t="s">
        <v>4210</v>
      </c>
      <c r="B9" s="4" t="s">
        <v>4211</v>
      </c>
      <c r="C9" s="4" t="s">
        <v>4212</v>
      </c>
      <c r="D9" s="4" t="s">
        <v>4213</v>
      </c>
      <c r="E9" s="4" t="s">
        <v>74</v>
      </c>
      <c r="F9" s="4" t="s">
        <v>4214</v>
      </c>
    </row>
    <row r="10" customFormat="false" ht="23.85" hidden="false" customHeight="false" outlineLevel="0" collapsed="false">
      <c r="A10" s="4" t="s">
        <v>4215</v>
      </c>
      <c r="B10" s="4" t="s">
        <v>4216</v>
      </c>
      <c r="C10" s="4" t="s">
        <v>4217</v>
      </c>
      <c r="D10" s="4" t="s">
        <v>4189</v>
      </c>
      <c r="E10" s="4" t="s">
        <v>73</v>
      </c>
      <c r="F10" s="4" t="s">
        <v>4218</v>
      </c>
    </row>
    <row r="11" customFormat="false" ht="15" hidden="false" customHeight="false" outlineLevel="0" collapsed="false">
      <c r="A11" s="4" t="s">
        <v>4219</v>
      </c>
      <c r="B11" s="4" t="s">
        <v>4220</v>
      </c>
      <c r="C11" s="4" t="s">
        <v>3354</v>
      </c>
      <c r="D11" s="4" t="s">
        <v>4221</v>
      </c>
      <c r="E11" s="4" t="s">
        <v>316</v>
      </c>
      <c r="F11" s="4" t="s">
        <v>4222</v>
      </c>
    </row>
    <row r="12" customFormat="false" ht="23.85" hidden="false" customHeight="false" outlineLevel="0" collapsed="false">
      <c r="A12" s="4" t="s">
        <v>4223</v>
      </c>
      <c r="B12" s="4" t="s">
        <v>4224</v>
      </c>
      <c r="C12" s="4" t="s">
        <v>3185</v>
      </c>
      <c r="D12" s="4" t="s">
        <v>4225</v>
      </c>
      <c r="E12" s="4" t="s">
        <v>73</v>
      </c>
      <c r="F12" s="4" t="s">
        <v>4226</v>
      </c>
    </row>
    <row r="13" customFormat="false" ht="23.85" hidden="false" customHeight="false" outlineLevel="0" collapsed="false">
      <c r="A13" s="4" t="s">
        <v>4227</v>
      </c>
      <c r="B13" s="4" t="s">
        <v>4228</v>
      </c>
      <c r="C13" s="4" t="s">
        <v>2929</v>
      </c>
      <c r="D13" s="4" t="s">
        <v>4225</v>
      </c>
      <c r="E13" s="4" t="s">
        <v>73</v>
      </c>
      <c r="F13" s="4" t="s">
        <v>4229</v>
      </c>
    </row>
    <row r="14" customFormat="false" ht="23.85" hidden="false" customHeight="false" outlineLevel="0" collapsed="false">
      <c r="A14" s="4" t="s">
        <v>4230</v>
      </c>
      <c r="B14" s="4" t="s">
        <v>4231</v>
      </c>
      <c r="C14" s="4" t="s">
        <v>2149</v>
      </c>
      <c r="D14" s="4" t="s">
        <v>4225</v>
      </c>
      <c r="E14" s="4" t="s">
        <v>73</v>
      </c>
      <c r="F14" s="4" t="s">
        <v>4232</v>
      </c>
    </row>
    <row r="15" customFormat="false" ht="23.85" hidden="false" customHeight="false" outlineLevel="0" collapsed="false">
      <c r="A15" s="4" t="s">
        <v>4233</v>
      </c>
      <c r="B15" s="4" t="s">
        <v>4234</v>
      </c>
      <c r="C15" s="4" t="s">
        <v>917</v>
      </c>
      <c r="D15" s="4" t="s">
        <v>4235</v>
      </c>
      <c r="E15" s="4" t="s">
        <v>316</v>
      </c>
      <c r="F15" s="4" t="s">
        <v>4236</v>
      </c>
    </row>
    <row r="16" customFormat="false" ht="23.85" hidden="false" customHeight="false" outlineLevel="0" collapsed="false">
      <c r="A16" s="4" t="s">
        <v>4237</v>
      </c>
      <c r="B16" s="4" t="s">
        <v>4238</v>
      </c>
      <c r="C16" s="4" t="s">
        <v>447</v>
      </c>
      <c r="D16" s="4" t="s">
        <v>4225</v>
      </c>
      <c r="E16" s="4" t="s">
        <v>316</v>
      </c>
      <c r="F16" s="4" t="s">
        <v>4239</v>
      </c>
    </row>
    <row r="17" customFormat="false" ht="23.85" hidden="false" customHeight="false" outlineLevel="0" collapsed="false">
      <c r="A17" s="4" t="s">
        <v>4240</v>
      </c>
      <c r="B17" s="4" t="s">
        <v>4241</v>
      </c>
      <c r="C17" s="4" t="s">
        <v>2375</v>
      </c>
      <c r="D17" s="4" t="s">
        <v>4225</v>
      </c>
      <c r="E17" s="4" t="s">
        <v>73</v>
      </c>
      <c r="F17" s="4" t="s">
        <v>4242</v>
      </c>
    </row>
    <row r="18" customFormat="false" ht="23.85" hidden="false" customHeight="false" outlineLevel="0" collapsed="false">
      <c r="A18" s="4" t="s">
        <v>4243</v>
      </c>
      <c r="B18" s="4" t="s">
        <v>4244</v>
      </c>
      <c r="C18" s="4" t="s">
        <v>1588</v>
      </c>
      <c r="D18" s="4" t="s">
        <v>4245</v>
      </c>
      <c r="E18" s="4" t="s">
        <v>316</v>
      </c>
      <c r="F18" s="4" t="s">
        <v>4246</v>
      </c>
    </row>
    <row r="19" customFormat="false" ht="23.85" hidden="false" customHeight="false" outlineLevel="0" collapsed="false">
      <c r="A19" s="4" t="s">
        <v>4247</v>
      </c>
      <c r="B19" s="4" t="s">
        <v>4248</v>
      </c>
      <c r="C19" s="4" t="s">
        <v>2337</v>
      </c>
      <c r="D19" s="4" t="s">
        <v>4225</v>
      </c>
      <c r="E19" s="4" t="s">
        <v>73</v>
      </c>
      <c r="F19" s="4" t="s">
        <v>3712</v>
      </c>
    </row>
    <row r="20" customFormat="false" ht="23.85" hidden="false" customHeight="false" outlineLevel="0" collapsed="false">
      <c r="A20" s="4" t="s">
        <v>4249</v>
      </c>
      <c r="B20" s="4" t="s">
        <v>4250</v>
      </c>
      <c r="C20" s="4" t="s">
        <v>4251</v>
      </c>
      <c r="D20" s="4" t="s">
        <v>4252</v>
      </c>
      <c r="E20" s="4" t="s">
        <v>316</v>
      </c>
      <c r="F20" s="4" t="s">
        <v>4253</v>
      </c>
    </row>
    <row r="21" customFormat="false" ht="23.85" hidden="false" customHeight="false" outlineLevel="0" collapsed="false">
      <c r="A21" s="4" t="s">
        <v>4254</v>
      </c>
      <c r="B21" s="4" t="s">
        <v>4255</v>
      </c>
      <c r="C21" s="4" t="s">
        <v>4256</v>
      </c>
      <c r="D21" s="4" t="s">
        <v>4257</v>
      </c>
      <c r="E21" s="4" t="s">
        <v>316</v>
      </c>
      <c r="F21" s="4" t="s">
        <v>4258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6"/>
    <col collapsed="false" customWidth="true" hidden="false" outlineLevel="0" max="3" min="3" style="0" width="110"/>
  </cols>
  <sheetData>
    <row r="1" customFormat="false" ht="15" hidden="false" customHeight="false" outlineLevel="0" collapsed="false">
      <c r="A1" s="3" t="s">
        <v>4005</v>
      </c>
      <c r="B1" s="3" t="s">
        <v>4006</v>
      </c>
      <c r="C1" s="3" t="s">
        <v>4259</v>
      </c>
    </row>
    <row r="2" customFormat="false" ht="23.85" hidden="false" customHeight="false" outlineLevel="0" collapsed="false">
      <c r="A2" s="4" t="n">
        <v>0</v>
      </c>
      <c r="B2" s="4" t="s">
        <v>62</v>
      </c>
      <c r="C2" s="4" t="s">
        <v>4260</v>
      </c>
    </row>
    <row r="3" customFormat="false" ht="15" hidden="false" customHeight="false" outlineLevel="0" collapsed="false">
      <c r="A3" s="4" t="n">
        <v>0</v>
      </c>
      <c r="B3" s="4" t="s">
        <v>62</v>
      </c>
      <c r="C3" s="4" t="s">
        <v>4261</v>
      </c>
    </row>
    <row r="4" customFormat="false" ht="23.85" hidden="false" customHeight="false" outlineLevel="0" collapsed="false">
      <c r="A4" s="4" t="n">
        <v>1</v>
      </c>
      <c r="B4" s="4" t="s">
        <v>218</v>
      </c>
      <c r="C4" s="4" t="s">
        <v>4262</v>
      </c>
    </row>
    <row r="5" customFormat="false" ht="15" hidden="false" customHeight="false" outlineLevel="0" collapsed="false">
      <c r="A5" s="4" t="n">
        <v>1</v>
      </c>
      <c r="B5" s="4" t="s">
        <v>218</v>
      </c>
      <c r="C5" s="4" t="s">
        <v>4263</v>
      </c>
    </row>
    <row r="6" customFormat="false" ht="15" hidden="false" customHeight="false" outlineLevel="0" collapsed="false">
      <c r="A6" s="4" t="n">
        <v>1</v>
      </c>
      <c r="B6" s="4" t="s">
        <v>218</v>
      </c>
      <c r="C6" s="4" t="s">
        <v>4264</v>
      </c>
    </row>
    <row r="7" customFormat="false" ht="15" hidden="false" customHeight="false" outlineLevel="0" collapsed="false">
      <c r="A7" s="4" t="n">
        <v>2</v>
      </c>
      <c r="B7" s="4" t="s">
        <v>637</v>
      </c>
      <c r="C7" s="4" t="s">
        <v>4265</v>
      </c>
    </row>
    <row r="8" customFormat="false" ht="15" hidden="false" customHeight="false" outlineLevel="0" collapsed="false">
      <c r="A8" s="4" t="n">
        <v>2</v>
      </c>
      <c r="B8" s="4" t="s">
        <v>637</v>
      </c>
      <c r="C8" s="4" t="s">
        <v>4266</v>
      </c>
    </row>
    <row r="9" customFormat="false" ht="15" hidden="false" customHeight="false" outlineLevel="0" collapsed="false">
      <c r="A9" s="4" t="n">
        <v>2</v>
      </c>
      <c r="B9" s="4" t="s">
        <v>637</v>
      </c>
      <c r="C9" s="4" t="s">
        <v>4267</v>
      </c>
    </row>
    <row r="10" customFormat="false" ht="15" hidden="false" customHeight="false" outlineLevel="0" collapsed="false">
      <c r="A10" s="4" t="n">
        <v>3</v>
      </c>
      <c r="B10" s="4" t="s">
        <v>734</v>
      </c>
      <c r="C10" s="4" t="s">
        <v>4268</v>
      </c>
    </row>
    <row r="11" customFormat="false" ht="15" hidden="false" customHeight="false" outlineLevel="0" collapsed="false">
      <c r="A11" s="4" t="n">
        <v>3</v>
      </c>
      <c r="B11" s="4" t="s">
        <v>734</v>
      </c>
      <c r="C11" s="4" t="s">
        <v>4269</v>
      </c>
    </row>
    <row r="12" customFormat="false" ht="23.85" hidden="false" customHeight="false" outlineLevel="0" collapsed="false">
      <c r="A12" s="4" t="n">
        <v>4</v>
      </c>
      <c r="B12" s="4" t="s">
        <v>800</v>
      </c>
      <c r="C12" s="4" t="s">
        <v>4270</v>
      </c>
    </row>
    <row r="13" customFormat="false" ht="15" hidden="false" customHeight="false" outlineLevel="0" collapsed="false">
      <c r="A13" s="4" t="n">
        <v>4</v>
      </c>
      <c r="B13" s="4" t="s">
        <v>800</v>
      </c>
      <c r="C13" s="4" t="s">
        <v>4271</v>
      </c>
    </row>
    <row r="14" customFormat="false" ht="23.85" hidden="false" customHeight="false" outlineLevel="0" collapsed="false">
      <c r="A14" s="4" t="n">
        <v>5</v>
      </c>
      <c r="B14" s="4" t="s">
        <v>916</v>
      </c>
      <c r="C14" s="4" t="s">
        <v>4272</v>
      </c>
    </row>
    <row r="15" customFormat="false" ht="15" hidden="false" customHeight="false" outlineLevel="0" collapsed="false">
      <c r="A15" s="4" t="n">
        <v>5</v>
      </c>
      <c r="B15" s="4" t="s">
        <v>916</v>
      </c>
      <c r="C15" s="4" t="s">
        <v>4273</v>
      </c>
    </row>
    <row r="16" customFormat="false" ht="23.85" hidden="false" customHeight="false" outlineLevel="0" collapsed="false">
      <c r="A16" s="4" t="n">
        <v>6</v>
      </c>
      <c r="B16" s="4" t="s">
        <v>1012</v>
      </c>
      <c r="C16" s="4" t="s">
        <v>4274</v>
      </c>
    </row>
    <row r="17" customFormat="false" ht="23.85" hidden="false" customHeight="false" outlineLevel="0" collapsed="false">
      <c r="A17" s="4" t="n">
        <v>6</v>
      </c>
      <c r="B17" s="4" t="s">
        <v>1012</v>
      </c>
      <c r="C17" s="4" t="s">
        <v>4275</v>
      </c>
    </row>
    <row r="18" customFormat="false" ht="23.85" hidden="false" customHeight="false" outlineLevel="0" collapsed="false">
      <c r="A18" s="4" t="n">
        <v>7</v>
      </c>
      <c r="B18" s="4" t="s">
        <v>1040</v>
      </c>
      <c r="C18" s="4" t="s">
        <v>4276</v>
      </c>
    </row>
    <row r="19" customFormat="false" ht="15" hidden="false" customHeight="false" outlineLevel="0" collapsed="false">
      <c r="A19" s="4" t="n">
        <v>7</v>
      </c>
      <c r="B19" s="4" t="s">
        <v>1040</v>
      </c>
      <c r="C19" s="4" t="s">
        <v>4277</v>
      </c>
    </row>
    <row r="20" customFormat="false" ht="15" hidden="false" customHeight="false" outlineLevel="0" collapsed="false">
      <c r="A20" s="4" t="n">
        <v>7</v>
      </c>
      <c r="B20" s="4" t="s">
        <v>1040</v>
      </c>
      <c r="C20" s="4" t="s">
        <v>4278</v>
      </c>
    </row>
    <row r="21" customFormat="false" ht="23.85" hidden="false" customHeight="false" outlineLevel="0" collapsed="false">
      <c r="A21" s="4" t="n">
        <v>8</v>
      </c>
      <c r="B21" s="4" t="s">
        <v>1311</v>
      </c>
      <c r="C21" s="4" t="s">
        <v>4279</v>
      </c>
    </row>
    <row r="22" customFormat="false" ht="15" hidden="false" customHeight="false" outlineLevel="0" collapsed="false">
      <c r="A22" s="4" t="n">
        <v>8</v>
      </c>
      <c r="B22" s="4" t="s">
        <v>1311</v>
      </c>
      <c r="C22" s="4" t="s">
        <v>4280</v>
      </c>
    </row>
    <row r="23" customFormat="false" ht="15" hidden="false" customHeight="false" outlineLevel="0" collapsed="false">
      <c r="A23" s="4" t="n">
        <v>8</v>
      </c>
      <c r="B23" s="4" t="s">
        <v>1311</v>
      </c>
      <c r="C23" s="4" t="s">
        <v>4281</v>
      </c>
    </row>
    <row r="24" customFormat="false" ht="23.85" hidden="false" customHeight="false" outlineLevel="0" collapsed="false">
      <c r="A24" s="4" t="n">
        <v>9</v>
      </c>
      <c r="B24" s="4" t="s">
        <v>1438</v>
      </c>
      <c r="C24" s="4" t="s">
        <v>4282</v>
      </c>
    </row>
    <row r="25" customFormat="false" ht="15" hidden="false" customHeight="false" outlineLevel="0" collapsed="false">
      <c r="A25" s="4" t="n">
        <v>9</v>
      </c>
      <c r="B25" s="4" t="s">
        <v>1438</v>
      </c>
      <c r="C25" s="4" t="s">
        <v>4283</v>
      </c>
    </row>
    <row r="26" customFormat="false" ht="15" hidden="false" customHeight="false" outlineLevel="0" collapsed="false">
      <c r="A26" s="4" t="n">
        <v>10</v>
      </c>
      <c r="B26" s="4" t="s">
        <v>1964</v>
      </c>
      <c r="C26" s="4" t="s">
        <v>4284</v>
      </c>
    </row>
    <row r="27" customFormat="false" ht="15" hidden="false" customHeight="false" outlineLevel="0" collapsed="false">
      <c r="A27" s="4" t="n">
        <v>10</v>
      </c>
      <c r="B27" s="4" t="s">
        <v>1964</v>
      </c>
      <c r="C27" s="4" t="s">
        <v>4285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2026-10-21T23:02:49Z</dcterms:created>
  <dc:creator>openpyxl</dc:creator>
  <dc:description/>
  <dc:language>en-US</dc:language>
  <cp:lastModifiedBy/>
  <dcterms:modified xsi:type="dcterms:W3CDTF">2026-10-21T23:02:49Z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